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drawings/drawing3.xml" ContentType="application/vnd.openxmlformats-officedocument.drawing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kato\Dropbox\Private\水泳協会\競泳補助ツール\"/>
    </mc:Choice>
  </mc:AlternateContent>
  <xr:revisionPtr revIDLastSave="0" documentId="13_ncr:1_{E26117B4-8DCC-467C-8D36-2246D3806D79}" xr6:coauthVersionLast="47" xr6:coauthVersionMax="47" xr10:uidLastSave="{00000000-0000-0000-0000-000000000000}"/>
  <bookViews>
    <workbookView xWindow="1080" yWindow="90" windowWidth="16320" windowHeight="12308" activeTab="1" xr2:uid="{00000000-000D-0000-FFFF-FFFF00000000}"/>
  </bookViews>
  <sheets>
    <sheet name="Menu" sheetId="1" r:id="rId1"/>
    <sheet name="qr code" sheetId="5" r:id="rId2"/>
    <sheet name="qr code score" sheetId="6" r:id="rId3"/>
  </sheets>
  <functionGroups builtInGroupCount="19"/>
  <definedNames>
    <definedName name="autoGenPeriod">Menu!$O$10</definedName>
    <definedName name="classColumn">Menu!$G$65:$N$65</definedName>
    <definedName name="distinationPath">Menu!$H$55</definedName>
    <definedName name="htmlprefix">Menu!$K$33</definedName>
    <definedName name="indexHtmlName">Menu!$K$36</definedName>
    <definedName name="indivScore">Menu!$C$65:$J$65</definedName>
    <definedName name="kanproHTMLName">Menu!$K$35</definedName>
    <definedName name="kentaiFlag">Menu!$C$67</definedName>
    <definedName name="mdbFilePath">Menu!$J$19</definedName>
    <definedName name="outputPath">Menu!$L$26</definedName>
    <definedName name="_xlnm.Print_Area" localSheetId="2">'qr code score'!$A$1:$Z$31</definedName>
    <definedName name="rankingHTMLName">Menu!$K$34</definedName>
    <definedName name="rankRow">Menu!$F$66:$F$85</definedName>
    <definedName name="relayScore">Menu!$C$64:$J$64</definedName>
    <definedName name="ServerName">Menu!$F$54</definedName>
    <definedName name="skipConfirmation">Menu!$G$45</definedName>
    <definedName name="targetPage">Menu!$E$59</definedName>
    <definedName name="teamCompe">Menu!$G$46</definedName>
    <definedName name="teamScoreHTML">Menu!$K$37</definedName>
    <definedName name="teamScorePage">Menu!$E$60</definedName>
    <definedName name="tempFolder">Menu!$I$44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7" i="1" l="1"/>
  <c r="E60" i="1" s="1"/>
  <c r="N5" i="6" s="1"/>
  <c r="K36" i="1"/>
  <c r="E59" i="1" s="1"/>
  <c r="K20" i="5" s="1"/>
  <c r="K35" i="1"/>
  <c r="K34" i="1"/>
  <c r="K5" i="5" l="1"/>
  <c r="N30" i="6"/>
  <c r="N17" i="6"/>
  <c r="AA2" i="6"/>
  <c r="N11" i="6"/>
  <c r="N23" i="6"/>
  <c r="K10" i="5"/>
  <c r="K15" i="5"/>
  <c r="K25" i="5"/>
</calcChain>
</file>

<file path=xl/sharedStrings.xml><?xml version="1.0" encoding="utf-8"?>
<sst xmlns="http://schemas.openxmlformats.org/spreadsheetml/2006/main" count="53" uniqueCount="44">
  <si>
    <t>teamCompe</t>
    <phoneticPr fontId="1"/>
  </si>
  <si>
    <t>水泳大会結果速報作成ツール</t>
    <rPh sb="0" eb="4">
      <t>スイエイタイカイ</t>
    </rPh>
    <rPh sb="4" eb="6">
      <t>ケッカ</t>
    </rPh>
    <rPh sb="6" eb="8">
      <t>ソクホウ</t>
    </rPh>
    <rPh sb="8" eb="10">
      <t>サクセイ</t>
    </rPh>
    <phoneticPr fontId="1"/>
  </si>
  <si>
    <t>入力のmdb ファイル==&gt;</t>
    <rPh sb="0" eb="2">
      <t>ニュウリョク</t>
    </rPh>
    <phoneticPr fontId="1"/>
  </si>
  <si>
    <t>出力ファイルを入れるフォルダー ==&gt;</t>
    <rPh sb="0" eb="2">
      <t>シュツリョク</t>
    </rPh>
    <rPh sb="7" eb="8">
      <t>イ</t>
    </rPh>
    <phoneticPr fontId="1"/>
  </si>
  <si>
    <t>入力のmdbファイルと出力先のフォルダーが以下で正しければ「速報作成」ボタンを押せば終了。</t>
    <rPh sb="0" eb="2">
      <t>ニュウリョク</t>
    </rPh>
    <rPh sb="11" eb="13">
      <t>シュツリョク</t>
    </rPh>
    <rPh sb="13" eb="14">
      <t>サキ</t>
    </rPh>
    <rPh sb="21" eb="23">
      <t>イカ</t>
    </rPh>
    <rPh sb="24" eb="25">
      <t>タダ</t>
    </rPh>
    <rPh sb="30" eb="32">
      <t>ソクホウ</t>
    </rPh>
    <rPh sb="32" eb="34">
      <t>サクセイ</t>
    </rPh>
    <rPh sb="39" eb="40">
      <t>オ</t>
    </rPh>
    <rPh sb="42" eb="44">
      <t>シュウリョウ</t>
    </rPh>
    <phoneticPr fontId="1"/>
  </si>
  <si>
    <t>結果の速報はセイコーのシステムが使っているmdbファイルを使って次の手順で作成します。</t>
    <rPh sb="0" eb="2">
      <t>ケッカ</t>
    </rPh>
    <rPh sb="3" eb="5">
      <t>ソクホウ</t>
    </rPh>
    <rPh sb="16" eb="17">
      <t>ツカ</t>
    </rPh>
    <rPh sb="29" eb="30">
      <t>ツカ</t>
    </rPh>
    <rPh sb="32" eb="33">
      <t>ツギ</t>
    </rPh>
    <rPh sb="34" eb="36">
      <t>テジュン</t>
    </rPh>
    <rPh sb="37" eb="39">
      <t>サクセイ</t>
    </rPh>
    <phoneticPr fontId="1"/>
  </si>
  <si>
    <t>mdbファイルが違う場合はこれを押して正しいmdbを選択する。===&gt;</t>
    <rPh sb="8" eb="9">
      <t>チガ</t>
    </rPh>
    <rPh sb="10" eb="12">
      <t>バアイ</t>
    </rPh>
    <rPh sb="16" eb="17">
      <t>オ</t>
    </rPh>
    <rPh sb="19" eb="20">
      <t>タダ</t>
    </rPh>
    <rPh sb="26" eb="28">
      <t>センタク</t>
    </rPh>
    <phoneticPr fontId="1"/>
  </si>
  <si>
    <t xml:space="preserve"> 出力先のフォルダーを変更したい場合はこのボタンを押す。 ===&gt;</t>
    <rPh sb="1" eb="4">
      <t>シュツリョクサキ</t>
    </rPh>
    <rPh sb="11" eb="13">
      <t>ヘンコウ</t>
    </rPh>
    <rPh sb="16" eb="18">
      <t>バアイ</t>
    </rPh>
    <rPh sb="25" eb="26">
      <t>オ</t>
    </rPh>
    <phoneticPr fontId="1"/>
  </si>
  <si>
    <t>通常ここから下は触る必要はありません。</t>
    <rPh sb="0" eb="2">
      <t>ツウジョウ</t>
    </rPh>
    <rPh sb="6" eb="7">
      <t>シタ</t>
    </rPh>
    <rPh sb="8" eb="9">
      <t>サワ</t>
    </rPh>
    <rPh sb="10" eb="12">
      <t>ヒツヨウ</t>
    </rPh>
    <phoneticPr fontId="1"/>
  </si>
  <si>
    <t>　環境設定</t>
    <rPh sb="1" eb="3">
      <t>カンキョウ</t>
    </rPh>
    <rPh sb="3" eb="5">
      <t>セッテイ</t>
    </rPh>
    <phoneticPr fontId="1"/>
  </si>
  <si>
    <t>Skip Confirmation</t>
    <phoneticPr fontId="1"/>
  </si>
  <si>
    <t>順位表のhtml filename ====&gt;</t>
    <rPh sb="0" eb="2">
      <t>ジュンイ</t>
    </rPh>
    <rPh sb="2" eb="3">
      <t>ヒョウ</t>
    </rPh>
    <phoneticPr fontId="1"/>
  </si>
  <si>
    <t>Program形式のhtml filename ==&gt;</t>
    <rPh sb="7" eb="9">
      <t>ケイシキ</t>
    </rPh>
    <phoneticPr fontId="1"/>
  </si>
  <si>
    <t>Index html の filename ===&gt;</t>
    <phoneticPr fontId="1"/>
  </si>
  <si>
    <t>(サーバーに送るときはネットに接続されていることが必要です。)</t>
    <rPh sb="6" eb="7">
      <t>オク</t>
    </rPh>
    <rPh sb="15" eb="17">
      <t>セツゾク</t>
    </rPh>
    <rPh sb="25" eb="27">
      <t>ヒツヨウ</t>
    </rPh>
    <phoneticPr fontId="1"/>
  </si>
  <si>
    <t>　( チーム対抗の場合1、それ以外は0)</t>
    <rPh sb="6" eb="8">
      <t>タイコウ</t>
    </rPh>
    <rPh sb="9" eb="11">
      <t>バアイ</t>
    </rPh>
    <rPh sb="15" eb="17">
      <t>イガイ</t>
    </rPh>
    <phoneticPr fontId="1"/>
  </si>
  <si>
    <t>00:05:00</t>
    <phoneticPr fontId="1"/>
  </si>
  <si>
    <t>(hh:mm:ssのフォーマットで指定)</t>
    <rPh sb="17" eb="19">
      <t>シテイ</t>
    </rPh>
    <phoneticPr fontId="1"/>
  </si>
  <si>
    <t>速報が作成されれば自動でサーバーに送られます。⇧の自動実行の間隔を設定してください。</t>
    <rPh sb="0" eb="2">
      <t>ソクホウ</t>
    </rPh>
    <rPh sb="3" eb="5">
      <t>サクセイ</t>
    </rPh>
    <rPh sb="9" eb="11">
      <t>ジドウ</t>
    </rPh>
    <rPh sb="17" eb="18">
      <t>オク</t>
    </rPh>
    <rPh sb="25" eb="29">
      <t>ジドウジッコウ</t>
    </rPh>
    <rPh sb="30" eb="32">
      <t>カンカク</t>
    </rPh>
    <rPh sb="33" eb="35">
      <t>セッテイ</t>
    </rPh>
    <phoneticPr fontId="1"/>
  </si>
  <si>
    <t>&lt;== 自動実行の間隔を設定の事</t>
    <rPh sb="4" eb="8">
      <t>ジドウジッコウ</t>
    </rPh>
    <rPh sb="9" eb="11">
      <t>カンカク</t>
    </rPh>
    <rPh sb="12" eb="14">
      <t>セッテイ</t>
    </rPh>
    <rPh sb="15" eb="16">
      <t>コト</t>
    </rPh>
    <phoneticPr fontId="1"/>
  </si>
  <si>
    <t xml:space="preserve">中間のTemporary folder=&gt; </t>
    <rPh sb="0" eb="2">
      <t>チュウカン</t>
    </rPh>
    <phoneticPr fontId="1"/>
  </si>
  <si>
    <t xml:space="preserve">Distination Path  ==&gt; </t>
    <phoneticPr fontId="1"/>
  </si>
  <si>
    <t xml:space="preserve">Server                  ==&gt; </t>
    <phoneticPr fontId="1"/>
  </si>
  <si>
    <t>otsuswim.ddns.net</t>
    <phoneticPr fontId="1"/>
  </si>
  <si>
    <t>&lt;--ここにmdbがコピーされます。</t>
    <phoneticPr fontId="1"/>
  </si>
  <si>
    <t>　( 0 : verbose mode　0にするといちいち確認をもとめられます。)</t>
    <rPh sb="29" eb="31">
      <t>カクニン</t>
    </rPh>
    <phoneticPr fontId="1"/>
  </si>
  <si>
    <t>Score html の filename ======&gt;</t>
    <phoneticPr fontId="1"/>
  </si>
  <si>
    <t>大会の速報はこちら</t>
    <rPh sb="0" eb="2">
      <t>タイカイ</t>
    </rPh>
    <rPh sb="3" eb="5">
      <t>ソクホウ</t>
    </rPh>
    <phoneticPr fontId="1"/>
  </si>
  <si>
    <t>/database2</t>
    <phoneticPr fontId="1"/>
  </si>
  <si>
    <t>得点の速報はこちら</t>
    <rPh sb="0" eb="2">
      <t>トクテン</t>
    </rPh>
    <rPh sb="3" eb="5">
      <t>ソクホウ</t>
    </rPh>
    <phoneticPr fontId="1"/>
  </si>
  <si>
    <t>C:\Users\jimu\Desktop\temp</t>
    <phoneticPr fontId="1"/>
  </si>
  <si>
    <t>C:\Users\ykato\OneDrive\デスクトップ\temp</t>
    <phoneticPr fontId="1"/>
  </si>
  <si>
    <t>C:\Users\ykato\Dropbox\Private\水泳協会\web速報</t>
    <phoneticPr fontId="1"/>
  </si>
  <si>
    <t>自動実行の間隔</t>
  </si>
  <si>
    <t>C:\Users\ykato\Desktop\web速報</t>
    <phoneticPr fontId="1"/>
  </si>
  <si>
    <t>大津市選手権は oss2022s.html</t>
    <rPh sb="0" eb="3">
      <t>オオツシ</t>
    </rPh>
    <rPh sb="3" eb="6">
      <t>センシュケン</t>
    </rPh>
    <phoneticPr fontId="1"/>
  </si>
  <si>
    <t>大津市選手権は oss2022sp.html</t>
    <rPh sb="0" eb="3">
      <t>オオツシ</t>
    </rPh>
    <rPh sb="3" eb="6">
      <t>センシュケン</t>
    </rPh>
    <phoneticPr fontId="1"/>
  </si>
  <si>
    <t>大津市選手権は oss2022sr.html</t>
    <rPh sb="0" eb="3">
      <t>オオツシ</t>
    </rPh>
    <rPh sb="3" eb="6">
      <t>センシュケン</t>
    </rPh>
    <phoneticPr fontId="1"/>
  </si>
  <si>
    <t>C:\Users\ykato\Dropbox\Private\水泳協会\SwimDB\DB2022\Swim05.mdb</t>
    <phoneticPr fontId="1"/>
  </si>
  <si>
    <t>&lt;--- 本番は　/rFlash</t>
    <rPh sb="5" eb="7">
      <t>ホンバン</t>
    </rPh>
    <phoneticPr fontId="1"/>
  </si>
  <si>
    <t>Y:\SWIMDB\Swim05.mdb</t>
    <phoneticPr fontId="1"/>
  </si>
  <si>
    <t>/rFlash</t>
  </si>
  <si>
    <t>C:\Users\ykato\Dropbox\Private\水泳協会\SwimDB\DB2022\Swim14.mdb</t>
    <phoneticPr fontId="1"/>
  </si>
  <si>
    <t>joc2023Spring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</si>
</sst>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游ゴシック"/>
      <family val="3"/>
      <charset val="128"/>
      <scheme val="minor"/>
    </font>
    <font>
      <sz val="6"/>
      <name val="游ゴシック"/>
      <family val="3"/>
      <charset val="128"/>
    </font>
    <font>
      <sz val="20"/>
      <color indexed="8"/>
      <name val="游ゴシック"/>
      <family val="3"/>
      <charset val="128"/>
    </font>
    <font>
      <sz val="14"/>
      <color indexed="8"/>
      <name val="游ゴシック"/>
      <family val="3"/>
      <charset val="128"/>
    </font>
    <font>
      <b/>
      <sz val="20"/>
      <color indexed="8"/>
      <name val="游ゴシック"/>
      <family val="3"/>
      <charset val="128"/>
    </font>
    <font>
      <b/>
      <sz val="14"/>
      <color indexed="8"/>
      <name val="游ゴシック"/>
      <family val="3"/>
      <charset val="128"/>
    </font>
    <font>
      <b/>
      <sz val="24"/>
      <color indexed="8"/>
      <name val="游ゴシック"/>
      <family val="3"/>
      <charset val="128"/>
    </font>
    <font>
      <sz val="9"/>
      <color indexed="8"/>
      <name val="游ゴシック"/>
      <family val="3"/>
      <charset val="128"/>
    </font>
    <font>
      <u/>
      <sz val="11"/>
      <color theme="10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</font>
    <font>
      <b/>
      <sz val="12"/>
      <color rgb="FF000000"/>
      <name val="游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8" fillId="0" borderId="0" xfId="1" applyAlignment="1">
      <alignment horizontal="center" vertical="center"/>
    </xf>
    <xf numFmtId="0" fontId="5" fillId="0" borderId="0" xfId="0" applyFont="1">
      <alignment vertical="center"/>
    </xf>
    <xf numFmtId="0" fontId="0" fillId="0" borderId="0" xfId="0" applyProtection="1">
      <alignment vertical="center"/>
      <protection locked="0"/>
    </xf>
    <xf numFmtId="0" fontId="3" fillId="0" borderId="0" xfId="0" quotePrefix="1" applyFont="1">
      <alignment vertical="center"/>
    </xf>
    <xf numFmtId="0" fontId="2" fillId="0" borderId="0" xfId="0" applyFont="1" applyAlignment="1">
      <alignment horizontal="left" vertical="top"/>
    </xf>
    <xf numFmtId="0" fontId="6" fillId="0" borderId="0" xfId="0" applyFont="1">
      <alignment vertical="center"/>
    </xf>
    <xf numFmtId="0" fontId="7" fillId="0" borderId="0" xfId="0" applyFont="1" applyAlignment="1"/>
    <xf numFmtId="0" fontId="3" fillId="2" borderId="0" xfId="0" quotePrefix="1" applyFont="1" applyFill="1">
      <alignment vertical="center"/>
    </xf>
    <xf numFmtId="0" fontId="3" fillId="2" borderId="0" xfId="0" applyFont="1" applyFill="1">
      <alignment vertical="center"/>
    </xf>
    <xf numFmtId="0" fontId="3" fillId="0" borderId="0" xfId="0" applyFont="1" applyProtection="1">
      <alignment vertical="center"/>
      <protection locked="0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 shrinkToFit="1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294"/>
  <ax:ocxPr ax:name="_cy" ax:value="3294"/>
  <ax:ocxPr ax:name="Style" ax:value="11"/>
  <ax:ocxPr ax:name="SubStyle" ax:value="-1"/>
  <ax:ocxPr ax:name="Validation" ax:value="2"/>
  <ax:ocxPr ax:name="LineWeight" ax:value="3"/>
  <ax:ocxPr ax:name="Direction" ax:value="0"/>
  <ax:ocxPr ax:name="ShowData" ax:value="1"/>
  <ax:ocxPr ax:name="Value" ax:value="http://otsuswim.ddns.net/rFlash/joc2023Spring.html"/>
  <ax:ocxPr ax:name="ForeColor" ax:value="0"/>
  <ax:ocxPr ax:name="BackColor" ax:value="16777215"/>
</ax:ocx>
</file>

<file path=xl/activeX/activeX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294"/>
  <ax:ocxPr ax:name="_cy" ax:value="3294"/>
  <ax:ocxPr ax:name="Style" ax:value="11"/>
  <ax:ocxPr ax:name="SubStyle" ax:value="0"/>
  <ax:ocxPr ax:name="Validation" ax:value="2"/>
  <ax:ocxPr ax:name="LineWeight" ax:value="3"/>
  <ax:ocxPr ax:name="Direction" ax:value="0"/>
  <ax:ocxPr ax:name="ShowData" ax:value="1"/>
  <ax:ocxPr ax:name="Value" ax:value="http://otsuswim.ddns.net/rFlash/joc2023Spring.html"/>
  <ax:ocxPr ax:name="ForeColor" ax:value="0"/>
  <ax:ocxPr ax:name="BackColor" ax:value="16777215"/>
</ax:ocx>
</file>

<file path=xl/activeX/activeX3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294"/>
  <ax:ocxPr ax:name="_cy" ax:value="3294"/>
  <ax:ocxPr ax:name="Style" ax:value="11"/>
  <ax:ocxPr ax:name="SubStyle" ax:value="0"/>
  <ax:ocxPr ax:name="Validation" ax:value="2"/>
  <ax:ocxPr ax:name="LineWeight" ax:value="3"/>
  <ax:ocxPr ax:name="Direction" ax:value="0"/>
  <ax:ocxPr ax:name="ShowData" ax:value="1"/>
  <ax:ocxPr ax:name="Value" ax:value="http://otsuswim.ddns.net/rFlash/joc2023Spring.html"/>
  <ax:ocxPr ax:name="ForeColor" ax:value="0"/>
  <ax:ocxPr ax:name="BackColor" ax:value="16777215"/>
</ax:ocx>
</file>

<file path=xl/activeX/activeX4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294"/>
  <ax:ocxPr ax:name="_cy" ax:value="3294"/>
  <ax:ocxPr ax:name="Style" ax:value="11"/>
  <ax:ocxPr ax:name="SubStyle" ax:value="0"/>
  <ax:ocxPr ax:name="Validation" ax:value="2"/>
  <ax:ocxPr ax:name="LineWeight" ax:value="3"/>
  <ax:ocxPr ax:name="Direction" ax:value="0"/>
  <ax:ocxPr ax:name="ShowData" ax:value="1"/>
  <ax:ocxPr ax:name="Value" ax:value="http://otsuswim.ddns.net/rFlash/joc2023Spring.html"/>
  <ax:ocxPr ax:name="ForeColor" ax:value="0"/>
  <ax:ocxPr ax:name="BackColor" ax:value="16777215"/>
</ax:ocx>
</file>

<file path=xl/activeX/activeX5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294"/>
  <ax:ocxPr ax:name="_cy" ax:value="3294"/>
  <ax:ocxPr ax:name="Style" ax:value="11"/>
  <ax:ocxPr ax:name="SubStyle" ax:value="0"/>
  <ax:ocxPr ax:name="Validation" ax:value="2"/>
  <ax:ocxPr ax:name="LineWeight" ax:value="3"/>
  <ax:ocxPr ax:name="Direction" ax:value="0"/>
  <ax:ocxPr ax:name="ShowData" ax:value="1"/>
  <ax:ocxPr ax:name="Value" ax:value="http://otsuswim.ddns.net/rFlash/joc2023Spring.html"/>
  <ax:ocxPr ax:name="ForeColor" ax:value="0"/>
  <ax:ocxPr ax:name="BackColor" ax:value="16777215"/>
</ax:ocx>
</file>

<file path=xl/activeX/activeX6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300"/>
  <ax:ocxPr ax:name="_cy" ax:value="3300"/>
  <ax:ocxPr ax:name="Style" ax:value="11"/>
  <ax:ocxPr ax:name="SubStyle" ax:value="0"/>
  <ax:ocxPr ax:name="Validation" ax:value="2"/>
  <ax:ocxPr ax:name="LineWeight" ax:value="3"/>
  <ax:ocxPr ax:name="Direction" ax:value="0"/>
  <ax:ocxPr ax:name="ShowData" ax:value="1"/>
  <ax:ocxPr ax:name="Value" ax:value="http://otsuswim.ddns.net/rFlash/joc2023Springs.html"/>
  <ax:ocxPr ax:name="ForeColor" ax:value="0"/>
  <ax:ocxPr ax:name="BackColor" ax:value="16777215"/>
</ax:ocx>
</file>

<file path=xl/activeX/activeX7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300"/>
  <ax:ocxPr ax:name="_cy" ax:value="3300"/>
  <ax:ocxPr ax:name="Style" ax:value="11"/>
  <ax:ocxPr ax:name="SubStyle" ax:value="0"/>
  <ax:ocxPr ax:name="Validation" ax:value="2"/>
  <ax:ocxPr ax:name="LineWeight" ax:value="3"/>
  <ax:ocxPr ax:name="Direction" ax:value="0"/>
  <ax:ocxPr ax:name="ShowData" ax:value="1"/>
  <ax:ocxPr ax:name="Value" ax:value="http://otsuswim.ddns.net/rFlash/joc2023Springs.html"/>
  <ax:ocxPr ax:name="ForeColor" ax:value="0"/>
  <ax:ocxPr ax:name="BackColor" ax:value="16777215"/>
</ax:ocx>
</file>

<file path=xl/activeX/activeX8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300"/>
  <ax:ocxPr ax:name="_cy" ax:value="3300"/>
  <ax:ocxPr ax:name="Style" ax:value="11"/>
  <ax:ocxPr ax:name="SubStyle" ax:value="0"/>
  <ax:ocxPr ax:name="Validation" ax:value="2"/>
  <ax:ocxPr ax:name="LineWeight" ax:value="3"/>
  <ax:ocxPr ax:name="Direction" ax:value="0"/>
  <ax:ocxPr ax:name="ShowData" ax:value="1"/>
  <ax:ocxPr ax:name="Value" ax:value="http://otsuswim.ddns.net/rFlash/joc2023Springs.html"/>
  <ax:ocxPr ax:name="ForeColor" ax:value="0"/>
  <ax:ocxPr ax:name="BackColor" ax:value="16777215"/>
</ax:ocx>
</file>

<file path=xl/activeX/activeX9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300"/>
  <ax:ocxPr ax:name="_cy" ax:value="3300"/>
  <ax:ocxPr ax:name="Style" ax:value="11"/>
  <ax:ocxPr ax:name="SubStyle" ax:value="-1"/>
  <ax:ocxPr ax:name="Validation" ax:value="2"/>
  <ax:ocxPr ax:name="LineWeight" ax:value="3"/>
  <ax:ocxPr ax:name="Direction" ax:value="0"/>
  <ax:ocxPr ax:name="ShowData" ax:value="1"/>
  <ax:ocxPr ax:name="Value" ax:value="http://otsuswim.ddns.net/rFlash/joc2023Springs.html"/>
  <ax:ocxPr ax:name="ForeColor" ax:value="0"/>
  <ax:ocxPr ax:name="BackColor" ax:value="16777215"/>
</ax:ocx>
</file>

<file path=xl/activeX/activeX10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300"/>
  <ax:ocxPr ax:name="_cy" ax:value="3300"/>
  <ax:ocxPr ax:name="Style" ax:value="11"/>
  <ax:ocxPr ax:name="SubStyle" ax:value="0"/>
  <ax:ocxPr ax:name="Validation" ax:value="2"/>
  <ax:ocxPr ax:name="LineWeight" ax:value="3"/>
  <ax:ocxPr ax:name="Direction" ax:value="0"/>
  <ax:ocxPr ax:name="ShowData" ax:value="1"/>
  <ax:ocxPr ax:name="Value" ax:value="http://otsuswim.ddns.net/rFlash/joc2023Springs.html"/>
  <ax:ocxPr ax:name="ForeColor" ax:value="0"/>
  <ax:ocxPr ax:name="BackColor" ax:value="16777215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100013</xdr:colOff>
          <xdr:row>6</xdr:row>
          <xdr:rowOff>90488</xdr:rowOff>
        </xdr:from>
        <xdr:to>
          <xdr:col>6</xdr:col>
          <xdr:colOff>285750</xdr:colOff>
          <xdr:row>7</xdr:row>
          <xdr:rowOff>242888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速報作成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33338</xdr:colOff>
          <xdr:row>19</xdr:row>
          <xdr:rowOff>266700</xdr:rowOff>
        </xdr:from>
        <xdr:to>
          <xdr:col>22</xdr:col>
          <xdr:colOff>61913</xdr:colOff>
          <xdr:row>21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mdbの選択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280988</xdr:colOff>
          <xdr:row>26</xdr:row>
          <xdr:rowOff>233363</xdr:rowOff>
        </xdr:from>
        <xdr:to>
          <xdr:col>22</xdr:col>
          <xdr:colOff>223838</xdr:colOff>
          <xdr:row>28</xdr:row>
          <xdr:rowOff>23813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出力先の選択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304800</xdr:colOff>
      <xdr:row>16</xdr:row>
      <xdr:rowOff>211667</xdr:rowOff>
    </xdr:from>
    <xdr:to>
      <xdr:col>28</xdr:col>
      <xdr:colOff>38100</xdr:colOff>
      <xdr:row>21</xdr:row>
      <xdr:rowOff>224367</xdr:rowOff>
    </xdr:to>
    <xdr:sp macro="" textlink="">
      <xdr:nvSpPr>
        <xdr:cNvPr id="1056" name="AutoShape 6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>
          <a:spLocks noChangeArrowheads="1"/>
        </xdr:cNvSpPr>
      </xdr:nvSpPr>
      <xdr:spPr bwMode="auto">
        <a:xfrm>
          <a:off x="304800" y="4821767"/>
          <a:ext cx="9334500" cy="1452033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2</xdr:col>
      <xdr:colOff>76199</xdr:colOff>
      <xdr:row>15</xdr:row>
      <xdr:rowOff>262466</xdr:rowOff>
    </xdr:from>
    <xdr:to>
      <xdr:col>8</xdr:col>
      <xdr:colOff>160866</xdr:colOff>
      <xdr:row>17</xdr:row>
      <xdr:rowOff>97366</xdr:rowOff>
    </xdr:to>
    <xdr:sp macro="" textlink="">
      <xdr:nvSpPr>
        <xdr:cNvPr id="1038" name="テキスト ボックス 1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 txBox="1">
          <a:spLocks noChangeArrowheads="1"/>
        </xdr:cNvSpPr>
      </xdr:nvSpPr>
      <xdr:spPr bwMode="auto">
        <a:xfrm>
          <a:off x="761999" y="4584699"/>
          <a:ext cx="2142067" cy="410634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64008" tIns="96012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游ゴシック"/>
              <a:ea typeface="游ゴシック"/>
            </a:rPr>
            <a:t>入力</a:t>
          </a:r>
          <a:r>
            <a:rPr lang="ja-JP" altLang="en-US" sz="1400" b="1" i="0" u="none" strike="noStrike" baseline="0">
              <a:solidFill>
                <a:srgbClr val="000000"/>
              </a:solidFill>
              <a:latin typeface="Calibri"/>
              <a:ea typeface="游ゴシック"/>
              <a:cs typeface="Calibri"/>
            </a:rPr>
            <a:t>mdb</a:t>
          </a:r>
          <a:r>
            <a:rPr lang="ja-JP" altLang="en-US" sz="1400" b="1" i="0" u="none" strike="noStrike" baseline="0">
              <a:solidFill>
                <a:srgbClr val="000000"/>
              </a:solidFill>
              <a:latin typeface="游ゴシック"/>
              <a:ea typeface="游ゴシック"/>
              <a:cs typeface="Calibri"/>
            </a:rPr>
            <a:t>ファイルの設定</a:t>
          </a:r>
          <a:endParaRPr lang="ja-JP" altLang="en-US" sz="1400" b="1" i="0" u="none" strike="noStrike" baseline="0">
            <a:solidFill>
              <a:srgbClr val="000000"/>
            </a:solidFill>
            <a:latin typeface="游ゴシック"/>
            <a:ea typeface="游ゴシック"/>
          </a:endParaRPr>
        </a:p>
      </xdr:txBody>
    </xdr:sp>
    <xdr:clientData/>
  </xdr:twoCellAnchor>
  <xdr:twoCellAnchor>
    <xdr:from>
      <xdr:col>0</xdr:col>
      <xdr:colOff>287867</xdr:colOff>
      <xdr:row>24</xdr:row>
      <xdr:rowOff>88900</xdr:rowOff>
    </xdr:from>
    <xdr:to>
      <xdr:col>28</xdr:col>
      <xdr:colOff>84667</xdr:colOff>
      <xdr:row>29</xdr:row>
      <xdr:rowOff>105833</xdr:rowOff>
    </xdr:to>
    <xdr:sp macro="" textlink="">
      <xdr:nvSpPr>
        <xdr:cNvPr id="1058" name="AutoShape 6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>
          <a:spLocks noChangeArrowheads="1"/>
        </xdr:cNvSpPr>
      </xdr:nvSpPr>
      <xdr:spPr bwMode="auto">
        <a:xfrm>
          <a:off x="287867" y="7001933"/>
          <a:ext cx="9398000" cy="1456267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2</xdr:col>
      <xdr:colOff>76199</xdr:colOff>
      <xdr:row>23</xdr:row>
      <xdr:rowOff>186272</xdr:rowOff>
    </xdr:from>
    <xdr:to>
      <xdr:col>6</xdr:col>
      <xdr:colOff>156632</xdr:colOff>
      <xdr:row>24</xdr:row>
      <xdr:rowOff>275170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761999" y="6811439"/>
          <a:ext cx="1452033" cy="3767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lnSpc>
              <a:spcPts val="2200"/>
            </a:lnSpc>
          </a:pPr>
          <a:r>
            <a:rPr kumimoji="1" lang="ja-JP" altLang="en-US" sz="1400" b="1"/>
            <a:t>出力フォルダーの設定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328613</xdr:colOff>
          <xdr:row>6</xdr:row>
          <xdr:rowOff>266700</xdr:rowOff>
        </xdr:from>
        <xdr:to>
          <xdr:col>12</xdr:col>
          <xdr:colOff>295275</xdr:colOff>
          <xdr:row>8</xdr:row>
          <xdr:rowOff>80963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8</xdr:row>
          <xdr:rowOff>209550</xdr:rowOff>
        </xdr:from>
        <xdr:to>
          <xdr:col>12</xdr:col>
          <xdr:colOff>285750</xdr:colOff>
          <xdr:row>10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自動実行停止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31</xdr:row>
      <xdr:rowOff>67733</xdr:rowOff>
    </xdr:from>
    <xdr:to>
      <xdr:col>28</xdr:col>
      <xdr:colOff>29633</xdr:colOff>
      <xdr:row>37</xdr:row>
      <xdr:rowOff>139700</xdr:rowOff>
    </xdr:to>
    <xdr:sp macro="" textlink="">
      <xdr:nvSpPr>
        <xdr:cNvPr id="1060" name="AutoShape 6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SpPr>
          <a:spLocks noChangeArrowheads="1"/>
        </xdr:cNvSpPr>
      </xdr:nvSpPr>
      <xdr:spPr bwMode="auto">
        <a:xfrm>
          <a:off x="342900" y="8995833"/>
          <a:ext cx="9287933" cy="151130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1</xdr:col>
      <xdr:colOff>334433</xdr:colOff>
      <xdr:row>30</xdr:row>
      <xdr:rowOff>131233</xdr:rowOff>
    </xdr:from>
    <xdr:to>
      <xdr:col>8</xdr:col>
      <xdr:colOff>101600</xdr:colOff>
      <xdr:row>31</xdr:row>
      <xdr:rowOff>220132</xdr:rowOff>
    </xdr:to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677333" y="8771466"/>
          <a:ext cx="2167467" cy="37676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400" b="1"/>
            <a:t>HTML </a:t>
          </a:r>
          <a:r>
            <a:rPr kumimoji="1" lang="ja-JP" altLang="en-US" sz="1400" b="1"/>
            <a:t>ファイル名の設定</a:t>
          </a:r>
        </a:p>
      </xdr:txBody>
    </xdr:sp>
    <xdr:clientData/>
  </xdr:twoCellAnchor>
  <xdr:twoCellAnchor>
    <xdr:from>
      <xdr:col>1</xdr:col>
      <xdr:colOff>0</xdr:colOff>
      <xdr:row>52</xdr:row>
      <xdr:rowOff>0</xdr:rowOff>
    </xdr:from>
    <xdr:to>
      <xdr:col>12</xdr:col>
      <xdr:colOff>88900</xdr:colOff>
      <xdr:row>57</xdr:row>
      <xdr:rowOff>21167</xdr:rowOff>
    </xdr:to>
    <xdr:sp macro="" textlink="">
      <xdr:nvSpPr>
        <xdr:cNvPr id="1062" name="AutoShape 6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>
          <a:spLocks noChangeArrowheads="1"/>
        </xdr:cNvSpPr>
      </xdr:nvSpPr>
      <xdr:spPr bwMode="auto">
        <a:xfrm>
          <a:off x="342900" y="14050433"/>
          <a:ext cx="3860800" cy="1460501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1</xdr:col>
      <xdr:colOff>313267</xdr:colOff>
      <xdr:row>51</xdr:row>
      <xdr:rowOff>84666</xdr:rowOff>
    </xdr:from>
    <xdr:to>
      <xdr:col>4</xdr:col>
      <xdr:colOff>84668</xdr:colOff>
      <xdr:row>52</xdr:row>
      <xdr:rowOff>169332</xdr:rowOff>
    </xdr:to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685800" y="13843000"/>
          <a:ext cx="1888068" cy="37676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400" b="1"/>
            <a:t>WEB</a:t>
          </a:r>
          <a:r>
            <a:rPr kumimoji="1" lang="en-US" altLang="ja-JP" sz="1400" b="1" baseline="0"/>
            <a:t> server</a:t>
          </a:r>
          <a:r>
            <a:rPr kumimoji="1" lang="ja-JP" altLang="en-US" sz="1400" b="1" baseline="0"/>
            <a:t>側の設定</a:t>
          </a:r>
          <a:endParaRPr kumimoji="1" lang="ja-JP" altLang="en-US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8</xdr:row>
          <xdr:rowOff>95250</xdr:rowOff>
        </xdr:from>
        <xdr:to>
          <xdr:col>6</xdr:col>
          <xdr:colOff>252413</xdr:colOff>
          <xdr:row>10</xdr:row>
          <xdr:rowOff>66675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0" anchor="t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選手番号対応表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100013</xdr:colOff>
          <xdr:row>10</xdr:row>
          <xdr:rowOff>280988</xdr:rowOff>
        </xdr:from>
        <xdr:to>
          <xdr:col>6</xdr:col>
          <xdr:colOff>276225</xdr:colOff>
          <xdr:row>12</xdr:row>
          <xdr:rowOff>261938</xdr:rowOff>
        </xdr:to>
        <xdr:sp macro="" textlink="">
          <xdr:nvSpPr>
            <xdr:cNvPr id="2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0" anchor="t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召集用レーン順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169321</xdr:rowOff>
    </xdr:from>
    <xdr:to>
      <xdr:col>13</xdr:col>
      <xdr:colOff>107365</xdr:colOff>
      <xdr:row>2</xdr:row>
      <xdr:rowOff>376385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767667" y="626521"/>
          <a:ext cx="725431" cy="207064"/>
        </a:xfrm>
        <a:prstGeom prst="rightArrow">
          <a:avLst>
            <a:gd name="adj1" fmla="val 50000"/>
            <a:gd name="adj2" fmla="val 57142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11</xdr:col>
      <xdr:colOff>12700</xdr:colOff>
      <xdr:row>7</xdr:row>
      <xdr:rowOff>165088</xdr:rowOff>
    </xdr:from>
    <xdr:to>
      <xdr:col>13</xdr:col>
      <xdr:colOff>120065</xdr:colOff>
      <xdr:row>7</xdr:row>
      <xdr:rowOff>372152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80367" y="2671221"/>
          <a:ext cx="725431" cy="207064"/>
        </a:xfrm>
        <a:prstGeom prst="rightArrow">
          <a:avLst>
            <a:gd name="adj1" fmla="val 50000"/>
            <a:gd name="adj2" fmla="val 57142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11</xdr:col>
      <xdr:colOff>12700</xdr:colOff>
      <xdr:row>12</xdr:row>
      <xdr:rowOff>160854</xdr:rowOff>
    </xdr:from>
    <xdr:to>
      <xdr:col>13</xdr:col>
      <xdr:colOff>120065</xdr:colOff>
      <xdr:row>12</xdr:row>
      <xdr:rowOff>367918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780367" y="4715921"/>
          <a:ext cx="725431" cy="207064"/>
        </a:xfrm>
        <a:prstGeom prst="rightArrow">
          <a:avLst>
            <a:gd name="adj1" fmla="val 50000"/>
            <a:gd name="adj2" fmla="val 57142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11</xdr:col>
      <xdr:colOff>12700</xdr:colOff>
      <xdr:row>17</xdr:row>
      <xdr:rowOff>156621</xdr:rowOff>
    </xdr:from>
    <xdr:to>
      <xdr:col>13</xdr:col>
      <xdr:colOff>120065</xdr:colOff>
      <xdr:row>17</xdr:row>
      <xdr:rowOff>363685</xdr:rowOff>
    </xdr:to>
    <xdr:sp macro="" textlink="">
      <xdr:nvSpPr>
        <xdr:cNvPr id="5" name="矢印: 右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780367" y="6760621"/>
          <a:ext cx="725431" cy="207064"/>
        </a:xfrm>
        <a:prstGeom prst="rightArrow">
          <a:avLst>
            <a:gd name="adj1" fmla="val 50000"/>
            <a:gd name="adj2" fmla="val 57142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11</xdr:col>
      <xdr:colOff>12700</xdr:colOff>
      <xdr:row>22</xdr:row>
      <xdr:rowOff>152388</xdr:rowOff>
    </xdr:from>
    <xdr:to>
      <xdr:col>13</xdr:col>
      <xdr:colOff>120065</xdr:colOff>
      <xdr:row>22</xdr:row>
      <xdr:rowOff>359452</xdr:rowOff>
    </xdr:to>
    <xdr:sp macro="" textlink="">
      <xdr:nvSpPr>
        <xdr:cNvPr id="6" name="矢印: 右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3780367" y="8805321"/>
          <a:ext cx="725431" cy="207064"/>
        </a:xfrm>
        <a:prstGeom prst="rightArrow">
          <a:avLst>
            <a:gd name="adj1" fmla="val 50000"/>
            <a:gd name="adj2" fmla="val 57142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223838</xdr:colOff>
          <xdr:row>10</xdr:row>
          <xdr:rowOff>166688</xdr:rowOff>
        </xdr:from>
        <xdr:to>
          <xdr:col>19</xdr:col>
          <xdr:colOff>209550</xdr:colOff>
          <xdr:row>13</xdr:row>
          <xdr:rowOff>233363</xdr:rowOff>
        </xdr:to>
        <xdr:sp macro="" textlink="">
          <xdr:nvSpPr>
            <xdr:cNvPr id="4097" name="BarCodeCtrl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223838</xdr:colOff>
          <xdr:row>16</xdr:row>
          <xdr:rowOff>166688</xdr:rowOff>
        </xdr:from>
        <xdr:to>
          <xdr:col>19</xdr:col>
          <xdr:colOff>209550</xdr:colOff>
          <xdr:row>19</xdr:row>
          <xdr:rowOff>71438</xdr:rowOff>
        </xdr:to>
        <xdr:sp macro="" textlink="">
          <xdr:nvSpPr>
            <xdr:cNvPr id="4098" name="BarCodeCtrl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223838</xdr:colOff>
          <xdr:row>21</xdr:row>
          <xdr:rowOff>109538</xdr:rowOff>
        </xdr:from>
        <xdr:to>
          <xdr:col>19</xdr:col>
          <xdr:colOff>209550</xdr:colOff>
          <xdr:row>24</xdr:row>
          <xdr:rowOff>14288</xdr:rowOff>
        </xdr:to>
        <xdr:sp macro="" textlink="">
          <xdr:nvSpPr>
            <xdr:cNvPr id="4099" name="BarCodeCtrl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223838</xdr:colOff>
          <xdr:row>0</xdr:row>
          <xdr:rowOff>166688</xdr:rowOff>
        </xdr:from>
        <xdr:to>
          <xdr:col>19</xdr:col>
          <xdr:colOff>209550</xdr:colOff>
          <xdr:row>4</xdr:row>
          <xdr:rowOff>33338</xdr:rowOff>
        </xdr:to>
        <xdr:sp macro="" textlink="">
          <xdr:nvSpPr>
            <xdr:cNvPr id="4100" name="BarCodeCtrl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223838</xdr:colOff>
          <xdr:row>5</xdr:row>
          <xdr:rowOff>166688</xdr:rowOff>
        </xdr:from>
        <xdr:to>
          <xdr:col>19</xdr:col>
          <xdr:colOff>209550</xdr:colOff>
          <xdr:row>8</xdr:row>
          <xdr:rowOff>233363</xdr:rowOff>
        </xdr:to>
        <xdr:sp macro="" textlink="">
          <xdr:nvSpPr>
            <xdr:cNvPr id="4101" name="BarCodeCtrl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219749</xdr:colOff>
      <xdr:row>2</xdr:row>
      <xdr:rowOff>50701</xdr:rowOff>
    </xdr:from>
    <xdr:to>
      <xdr:col>17</xdr:col>
      <xdr:colOff>30780</xdr:colOff>
      <xdr:row>2</xdr:row>
      <xdr:rowOff>257765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43949" y="634901"/>
          <a:ext cx="763531" cy="207064"/>
        </a:xfrm>
        <a:prstGeom prst="rightArrow">
          <a:avLst>
            <a:gd name="adj1" fmla="val 50000"/>
            <a:gd name="adj2" fmla="val 57142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13</xdr:col>
      <xdr:colOff>219749</xdr:colOff>
      <xdr:row>8</xdr:row>
      <xdr:rowOff>58110</xdr:rowOff>
    </xdr:from>
    <xdr:to>
      <xdr:col>17</xdr:col>
      <xdr:colOff>30780</xdr:colOff>
      <xdr:row>8</xdr:row>
      <xdr:rowOff>265174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343949" y="2687010"/>
          <a:ext cx="763531" cy="207064"/>
        </a:xfrm>
        <a:prstGeom prst="rightArrow">
          <a:avLst>
            <a:gd name="adj1" fmla="val 50000"/>
            <a:gd name="adj2" fmla="val 57142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13</xdr:col>
      <xdr:colOff>219749</xdr:colOff>
      <xdr:row>14</xdr:row>
      <xdr:rowOff>58110</xdr:rowOff>
    </xdr:from>
    <xdr:to>
      <xdr:col>17</xdr:col>
      <xdr:colOff>30780</xdr:colOff>
      <xdr:row>14</xdr:row>
      <xdr:rowOff>265174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343949" y="4731710"/>
          <a:ext cx="763531" cy="207064"/>
        </a:xfrm>
        <a:prstGeom prst="rightArrow">
          <a:avLst>
            <a:gd name="adj1" fmla="val 50000"/>
            <a:gd name="adj2" fmla="val 57142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13</xdr:col>
      <xdr:colOff>219749</xdr:colOff>
      <xdr:row>20</xdr:row>
      <xdr:rowOff>58110</xdr:rowOff>
    </xdr:from>
    <xdr:to>
      <xdr:col>17</xdr:col>
      <xdr:colOff>30780</xdr:colOff>
      <xdr:row>20</xdr:row>
      <xdr:rowOff>265174</xdr:rowOff>
    </xdr:to>
    <xdr:sp macro="" textlink="">
      <xdr:nvSpPr>
        <xdr:cNvPr id="5" name="矢印: 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343949" y="6776410"/>
          <a:ext cx="763531" cy="207064"/>
        </a:xfrm>
        <a:prstGeom prst="rightArrow">
          <a:avLst>
            <a:gd name="adj1" fmla="val 50000"/>
            <a:gd name="adj2" fmla="val 57142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13</xdr:col>
      <xdr:colOff>219749</xdr:colOff>
      <xdr:row>27</xdr:row>
      <xdr:rowOff>58110</xdr:rowOff>
    </xdr:from>
    <xdr:to>
      <xdr:col>17</xdr:col>
      <xdr:colOff>30780</xdr:colOff>
      <xdr:row>27</xdr:row>
      <xdr:rowOff>265174</xdr:rowOff>
    </xdr:to>
    <xdr:sp macro="" textlink="">
      <xdr:nvSpPr>
        <xdr:cNvPr id="6" name="矢印: 右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343949" y="8821110"/>
          <a:ext cx="763531" cy="207064"/>
        </a:xfrm>
        <a:prstGeom prst="rightArrow">
          <a:avLst>
            <a:gd name="adj1" fmla="val 50000"/>
            <a:gd name="adj2" fmla="val 57142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166688</xdr:rowOff>
        </xdr:from>
        <xdr:to>
          <xdr:col>22</xdr:col>
          <xdr:colOff>166688</xdr:colOff>
          <xdr:row>4</xdr:row>
          <xdr:rowOff>190500</xdr:rowOff>
        </xdr:to>
        <xdr:sp macro="" textlink="">
          <xdr:nvSpPr>
            <xdr:cNvPr id="6145" name="BarCodeCtrl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6</xdr:row>
          <xdr:rowOff>133350</xdr:rowOff>
        </xdr:from>
        <xdr:to>
          <xdr:col>22</xdr:col>
          <xdr:colOff>0</xdr:colOff>
          <xdr:row>10</xdr:row>
          <xdr:rowOff>114300</xdr:rowOff>
        </xdr:to>
        <xdr:sp macro="" textlink="">
          <xdr:nvSpPr>
            <xdr:cNvPr id="6146" name="BarCodeCtrl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12</xdr:row>
          <xdr:rowOff>238125</xdr:rowOff>
        </xdr:from>
        <xdr:to>
          <xdr:col>22</xdr:col>
          <xdr:colOff>90488</xdr:colOff>
          <xdr:row>16</xdr:row>
          <xdr:rowOff>261938</xdr:rowOff>
        </xdr:to>
        <xdr:sp macro="" textlink="">
          <xdr:nvSpPr>
            <xdr:cNvPr id="6147" name="BarCodeCtrl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76200</xdr:colOff>
          <xdr:row>18</xdr:row>
          <xdr:rowOff>133350</xdr:rowOff>
        </xdr:from>
        <xdr:to>
          <xdr:col>22</xdr:col>
          <xdr:colOff>119063</xdr:colOff>
          <xdr:row>22</xdr:row>
          <xdr:rowOff>157163</xdr:rowOff>
        </xdr:to>
        <xdr:sp macro="" textlink="">
          <xdr:nvSpPr>
            <xdr:cNvPr id="6148" name="BarCodeCtrl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100013</xdr:colOff>
          <xdr:row>25</xdr:row>
          <xdr:rowOff>214313</xdr:rowOff>
        </xdr:from>
        <xdr:to>
          <xdr:col>22</xdr:col>
          <xdr:colOff>142875</xdr:colOff>
          <xdr:row>29</xdr:row>
          <xdr:rowOff>238125</xdr:rowOff>
        </xdr:to>
        <xdr:sp macro="" textlink="">
          <xdr:nvSpPr>
            <xdr:cNvPr id="6149" name="BarCodeCtrl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2.emf"/><Relationship Id="rId4" Type="http://schemas.openxmlformats.org/officeDocument/2006/relationships/control" Target="../activeX/activeX6.xml"/><Relationship Id="rId9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9"/>
  </sheetPr>
  <dimension ref="A2:S64"/>
  <sheetViews>
    <sheetView topLeftCell="A30" workbookViewId="0">
      <selection activeCell="K34" sqref="K34"/>
    </sheetView>
  </sheetViews>
  <sheetFormatPr defaultColWidth="4.5" defaultRowHeight="17.649999999999999" x14ac:dyDescent="0.7"/>
  <sheetData>
    <row r="2" spans="1:18" ht="32.25" x14ac:dyDescent="0.7">
      <c r="A2" s="15" t="s">
        <v>1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</row>
    <row r="4" spans="1:18" s="2" customFormat="1" ht="22.15" x14ac:dyDescent="0.7">
      <c r="B4" s="2" t="s">
        <v>5</v>
      </c>
    </row>
    <row r="5" spans="1:18" s="2" customFormat="1" ht="22.15" x14ac:dyDescent="0.7"/>
    <row r="6" spans="1:18" s="2" customFormat="1" ht="22.15" x14ac:dyDescent="0.7">
      <c r="B6" s="2" t="s">
        <v>4</v>
      </c>
    </row>
    <row r="7" spans="1:18" s="2" customFormat="1" ht="22.15" x14ac:dyDescent="0.7"/>
    <row r="8" spans="1:18" s="2" customFormat="1" ht="22.15" x14ac:dyDescent="0.7">
      <c r="O8" s="2" t="s">
        <v>19</v>
      </c>
    </row>
    <row r="9" spans="1:18" s="2" customFormat="1" ht="22.15" x14ac:dyDescent="0.7"/>
    <row r="10" spans="1:18" s="2" customFormat="1" ht="22.15" x14ac:dyDescent="0.7">
      <c r="O10" s="10" t="s">
        <v>16</v>
      </c>
      <c r="P10" s="11"/>
      <c r="Q10" s="11"/>
      <c r="R10" s="2" t="s">
        <v>17</v>
      </c>
    </row>
    <row r="11" spans="1:18" s="2" customFormat="1" ht="22.15" x14ac:dyDescent="0.7">
      <c r="N11" s="2" t="s">
        <v>33</v>
      </c>
    </row>
    <row r="12" spans="1:18" s="2" customFormat="1" ht="22.15" x14ac:dyDescent="0.7"/>
    <row r="13" spans="1:18" s="2" customFormat="1" ht="22.15" x14ac:dyDescent="0.7">
      <c r="G13" s="6"/>
    </row>
    <row r="14" spans="1:18" s="2" customFormat="1" ht="22.7" customHeight="1" x14ac:dyDescent="0.7">
      <c r="B14" s="2" t="s">
        <v>18</v>
      </c>
      <c r="D14" s="3"/>
      <c r="E14" s="3"/>
      <c r="F14" s="3"/>
      <c r="G14" s="3"/>
    </row>
    <row r="15" spans="1:18" s="2" customFormat="1" ht="22.7" customHeight="1" x14ac:dyDescent="0.7">
      <c r="C15" s="2" t="s">
        <v>14</v>
      </c>
      <c r="D15" s="3"/>
      <c r="E15" s="3"/>
      <c r="F15" s="3"/>
      <c r="G15" s="3"/>
    </row>
    <row r="16" spans="1:18" s="2" customFormat="1" ht="22.7" customHeight="1" x14ac:dyDescent="0.7">
      <c r="D16" s="3"/>
      <c r="E16" s="3"/>
      <c r="F16" s="3"/>
      <c r="G16" s="3"/>
    </row>
    <row r="17" spans="3:12" s="2" customFormat="1" ht="22.15" x14ac:dyDescent="0.7"/>
    <row r="18" spans="3:12" s="2" customFormat="1" ht="22.15" x14ac:dyDescent="0.7"/>
    <row r="19" spans="3:12" s="2" customFormat="1" ht="22.15" x14ac:dyDescent="0.7">
      <c r="C19" s="2" t="s">
        <v>2</v>
      </c>
      <c r="G19" s="13"/>
      <c r="J19" s="2" t="s">
        <v>42</v>
      </c>
    </row>
    <row r="20" spans="3:12" s="2" customFormat="1" ht="22.15" x14ac:dyDescent="0.7"/>
    <row r="21" spans="3:12" s="2" customFormat="1" ht="22.15" x14ac:dyDescent="0.7">
      <c r="C21" s="2" t="s">
        <v>6</v>
      </c>
    </row>
    <row r="22" spans="3:12" s="2" customFormat="1" ht="22.15" x14ac:dyDescent="0.7"/>
    <row r="23" spans="3:12" s="2" customFormat="1" ht="22.15" x14ac:dyDescent="0.7">
      <c r="J23" s="2" t="s">
        <v>38</v>
      </c>
    </row>
    <row r="24" spans="3:12" s="2" customFormat="1" ht="22.15" x14ac:dyDescent="0.7">
      <c r="J24" s="2" t="s">
        <v>40</v>
      </c>
    </row>
    <row r="25" spans="3:12" s="2" customFormat="1" ht="22.15" x14ac:dyDescent="0.7"/>
    <row r="26" spans="3:12" s="2" customFormat="1" ht="22.7" customHeight="1" x14ac:dyDescent="0.7">
      <c r="C26" s="2" t="s">
        <v>3</v>
      </c>
      <c r="L26" s="12" t="s">
        <v>32</v>
      </c>
    </row>
    <row r="27" spans="3:12" ht="22.7" customHeight="1" x14ac:dyDescent="0.7">
      <c r="G27" s="12" t="s">
        <v>34</v>
      </c>
    </row>
    <row r="28" spans="3:12" ht="22.7" customHeight="1" x14ac:dyDescent="0.7">
      <c r="C28" s="2" t="s">
        <v>7</v>
      </c>
    </row>
    <row r="29" spans="3:12" ht="22.7" customHeight="1" x14ac:dyDescent="0.7"/>
    <row r="30" spans="3:12" ht="22.7" customHeight="1" x14ac:dyDescent="0.7"/>
    <row r="31" spans="3:12" ht="22.7" customHeight="1" x14ac:dyDescent="0.7"/>
    <row r="32" spans="3:12" ht="22.7" customHeight="1" x14ac:dyDescent="0.7"/>
    <row r="33" spans="2:19" ht="22.7" customHeight="1" x14ac:dyDescent="0.7">
      <c r="K33" t="s">
        <v>43</v>
      </c>
    </row>
    <row r="34" spans="2:19" ht="22.7" customHeight="1" x14ac:dyDescent="0.7">
      <c r="C34" t="s">
        <v>11</v>
      </c>
      <c r="K34" s="5" t="str">
        <f>htmlprefix &amp;"r.html"</f>
        <v>joc2023Springr.html</v>
      </c>
      <c r="Q34" t="s">
        <v>37</v>
      </c>
    </row>
    <row r="35" spans="2:19" ht="22.7" customHeight="1" x14ac:dyDescent="0.7">
      <c r="C35" t="s">
        <v>12</v>
      </c>
      <c r="K35" t="str">
        <f>htmlprefix&amp;"p.html"</f>
        <v>joc2023Springp.html</v>
      </c>
      <c r="Q35" t="s">
        <v>36</v>
      </c>
    </row>
    <row r="36" spans="2:19" ht="22.7" customHeight="1" x14ac:dyDescent="0.7">
      <c r="C36" t="s">
        <v>13</v>
      </c>
      <c r="K36" t="str">
        <f>htmlprefix&amp;".html"</f>
        <v>joc2023Spring.html</v>
      </c>
      <c r="Q36" t="s">
        <v>35</v>
      </c>
    </row>
    <row r="37" spans="2:19" ht="22.7" customHeight="1" x14ac:dyDescent="0.7">
      <c r="C37" t="s">
        <v>26</v>
      </c>
      <c r="K37" t="str">
        <f>htmlprefix &amp; "s.html"</f>
        <v>joc2023Springs.html</v>
      </c>
    </row>
    <row r="41" spans="2:19" s="4" customFormat="1" ht="22.7" customHeight="1" x14ac:dyDescent="0.7">
      <c r="B41" s="4" t="s">
        <v>8</v>
      </c>
      <c r="Q41"/>
    </row>
    <row r="42" spans="2:19" ht="22.7" customHeight="1" x14ac:dyDescent="0.7"/>
    <row r="43" spans="2:19" ht="22.7" customHeight="1" x14ac:dyDescent="0.7">
      <c r="B43" t="s">
        <v>9</v>
      </c>
      <c r="E43" s="5" t="s">
        <v>30</v>
      </c>
    </row>
    <row r="44" spans="2:19" ht="22.7" customHeight="1" x14ac:dyDescent="0.7">
      <c r="C44" t="s">
        <v>20</v>
      </c>
      <c r="I44" s="5" t="s">
        <v>31</v>
      </c>
      <c r="S44" t="s">
        <v>24</v>
      </c>
    </row>
    <row r="45" spans="2:19" ht="22.7" customHeight="1" x14ac:dyDescent="0.7">
      <c r="C45" t="s">
        <v>10</v>
      </c>
      <c r="G45" s="5">
        <v>1</v>
      </c>
      <c r="H45" t="s">
        <v>25</v>
      </c>
    </row>
    <row r="46" spans="2:19" ht="22.7" customHeight="1" x14ac:dyDescent="0.7">
      <c r="C46" t="s">
        <v>0</v>
      </c>
      <c r="G46">
        <v>1</v>
      </c>
      <c r="H46" t="s">
        <v>15</v>
      </c>
    </row>
    <row r="47" spans="2:19" ht="22.7" customHeight="1" x14ac:dyDescent="0.7"/>
    <row r="48" spans="2:19" ht="22.7" customHeight="1" x14ac:dyDescent="0.7">
      <c r="I48" s="5" t="s">
        <v>30</v>
      </c>
    </row>
    <row r="49" spans="3:14" ht="22.7" customHeight="1" x14ac:dyDescent="0.7"/>
    <row r="50" spans="3:14" ht="22.7" customHeight="1" x14ac:dyDescent="0.7"/>
    <row r="51" spans="3:14" ht="22.7" customHeight="1" x14ac:dyDescent="0.7"/>
    <row r="52" spans="3:14" ht="22.7" customHeight="1" x14ac:dyDescent="0.7"/>
    <row r="53" spans="3:14" ht="22.7" customHeight="1" x14ac:dyDescent="0.7"/>
    <row r="54" spans="3:14" ht="22.7" customHeight="1" x14ac:dyDescent="0.7">
      <c r="C54" t="s">
        <v>22</v>
      </c>
      <c r="F54" t="s">
        <v>23</v>
      </c>
    </row>
    <row r="55" spans="3:14" ht="22.7" customHeight="1" x14ac:dyDescent="0.7">
      <c r="C55" t="s">
        <v>21</v>
      </c>
      <c r="H55" t="s">
        <v>41</v>
      </c>
      <c r="N55" t="s">
        <v>39</v>
      </c>
    </row>
    <row r="56" spans="3:14" ht="22.7" customHeight="1" x14ac:dyDescent="0.7">
      <c r="I56" t="s">
        <v>28</v>
      </c>
    </row>
    <row r="57" spans="3:14" ht="22.7" customHeight="1" x14ac:dyDescent="0.7"/>
    <row r="58" spans="3:14" ht="22.7" customHeight="1" x14ac:dyDescent="0.7"/>
    <row r="59" spans="3:14" ht="22.7" customHeight="1" x14ac:dyDescent="0.7">
      <c r="E59" t="str">
        <f>"http://"&amp;ServerName&amp;distinationPath&amp;"/"&amp;indexHtmlName</f>
        <v>http://otsuswim.ddns.net/rFlash/joc2023Spring.html</v>
      </c>
    </row>
    <row r="60" spans="3:14" x14ac:dyDescent="0.7">
      <c r="E60" t="str">
        <f>"http://"&amp;ServerName&amp;distinationPath&amp;"/"&amp;teamScoreHTML</f>
        <v>http://otsuswim.ddns.net/rFlash/joc2023Springs.html</v>
      </c>
    </row>
    <row r="64" spans="3:14" x14ac:dyDescent="0.7">
      <c r="G64" s="14"/>
      <c r="H64" s="14"/>
      <c r="I64" s="14"/>
      <c r="J64" s="14"/>
      <c r="K64" s="14"/>
      <c r="L64" s="14"/>
      <c r="M64" s="14"/>
      <c r="N64" s="14"/>
    </row>
  </sheetData>
  <mergeCells count="1">
    <mergeCell ref="A2:M2"/>
  </mergeCells>
  <phoneticPr fontId="1"/>
  <dataValidations count="1">
    <dataValidation type="list" allowBlank="1" showInputMessage="1" showErrorMessage="1" sqref="G45:G46" xr:uid="{00000000-0002-0000-0000-000000000000}">
      <formula1>"0,1"</formula1>
    </dataValidation>
  </dataValidations>
  <pageMargins left="0.7" right="0.7" top="0.75" bottom="0.75" header="0.3" footer="0.3"/>
  <pageSetup paperSize="123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result_html">
                <anchor moveWithCells="1" sizeWithCells="1">
                  <from>
                    <xdr:col>3</xdr:col>
                    <xdr:colOff>100013</xdr:colOff>
                    <xdr:row>6</xdr:row>
                    <xdr:rowOff>90488</xdr:rowOff>
                  </from>
                  <to>
                    <xdr:col>6</xdr:col>
                    <xdr:colOff>285750</xdr:colOff>
                    <xdr:row>7</xdr:row>
                    <xdr:rowOff>242888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lect_mdb_file">
                <anchor moveWithCells="1" sizeWithCells="1">
                  <from>
                    <xdr:col>19</xdr:col>
                    <xdr:colOff>33338</xdr:colOff>
                    <xdr:row>19</xdr:row>
                    <xdr:rowOff>266700</xdr:rowOff>
                  </from>
                  <to>
                    <xdr:col>22</xdr:col>
                    <xdr:colOff>61913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et_output_path">
                <anchor moveWithCells="1" sizeWithCells="1">
                  <from>
                    <xdr:col>18</xdr:col>
                    <xdr:colOff>280988</xdr:colOff>
                    <xdr:row>26</xdr:row>
                    <xdr:rowOff>233363</xdr:rowOff>
                  </from>
                  <to>
                    <xdr:col>22</xdr:col>
                    <xdr:colOff>223838</xdr:colOff>
                    <xdr:row>28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run_auto_gen">
                <anchor moveWithCells="1" sizeWithCells="1">
                  <from>
                    <xdr:col>9</xdr:col>
                    <xdr:colOff>328613</xdr:colOff>
                    <xdr:row>6</xdr:row>
                    <xdr:rowOff>266700</xdr:rowOff>
                  </from>
                  <to>
                    <xdr:col>12</xdr:col>
                    <xdr:colOff>295275</xdr:colOff>
                    <xdr:row>8</xdr:row>
                    <xdr:rowOff>80963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stop_auto_gen">
                <anchor moveWithCells="1" sizeWithCells="1">
                  <from>
                    <xdr:col>9</xdr:col>
                    <xdr:colOff>342900</xdr:colOff>
                    <xdr:row>8</xdr:row>
                    <xdr:rowOff>209550</xdr:rowOff>
                  </from>
                  <to>
                    <xdr:col>12</xdr:col>
                    <xdr:colOff>285750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gen_swimmer_list">
                <anchor moveWithCells="1" sizeWithCells="1">
                  <from>
                    <xdr:col>3</xdr:col>
                    <xdr:colOff>104775</xdr:colOff>
                    <xdr:row>8</xdr:row>
                    <xdr:rowOff>95250</xdr:rowOff>
                  </from>
                  <to>
                    <xdr:col>6</xdr:col>
                    <xdr:colOff>252413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" name="Button 14">
              <controlPr defaultSize="0" print="0" autoFill="0" autoPict="0" macro="[0]!create_html_4_call">
                <anchor moveWithCells="1" sizeWithCells="1">
                  <from>
                    <xdr:col>3</xdr:col>
                    <xdr:colOff>100013</xdr:colOff>
                    <xdr:row>10</xdr:row>
                    <xdr:rowOff>280988</xdr:rowOff>
                  </from>
                  <to>
                    <xdr:col>6</xdr:col>
                    <xdr:colOff>276225</xdr:colOff>
                    <xdr:row>12</xdr:row>
                    <xdr:rowOff>261938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491AC-5226-4445-8065-F8EB8BB59D72}">
  <sheetPr codeName="Sheet4"/>
  <dimension ref="B3:P25"/>
  <sheetViews>
    <sheetView tabSelected="1" topLeftCell="A12" workbookViewId="0">
      <selection activeCell="K10" sqref="K3:T10"/>
    </sheetView>
  </sheetViews>
  <sheetFormatPr defaultRowHeight="17.649999999999999" x14ac:dyDescent="0.7"/>
  <cols>
    <col min="1" max="1" width="3.8125" customWidth="1"/>
    <col min="2" max="20" width="3.9375" customWidth="1"/>
  </cols>
  <sheetData>
    <row r="3" spans="2:16" ht="38.25" x14ac:dyDescent="0.7">
      <c r="B3" s="8" t="s">
        <v>27</v>
      </c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2:16" ht="30.7" customHeight="1" x14ac:dyDescent="0.7"/>
    <row r="5" spans="2:16" x14ac:dyDescent="0.6">
      <c r="K5" s="9" t="str">
        <f>targetPage</f>
        <v>http://otsuswim.ddns.net/rFlash/joc2023Spring.html</v>
      </c>
    </row>
    <row r="7" spans="2:16" ht="32.25" x14ac:dyDescent="0.7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6" ht="38.25" x14ac:dyDescent="0.7">
      <c r="B8" s="8" t="s">
        <v>27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</row>
    <row r="9" spans="2:16" ht="30.7" customHeight="1" x14ac:dyDescent="0.7"/>
    <row r="10" spans="2:16" x14ac:dyDescent="0.6">
      <c r="K10" s="9" t="str">
        <f>targetPage</f>
        <v>http://otsuswim.ddns.net/rFlash/joc2023Spring.html</v>
      </c>
    </row>
    <row r="12" spans="2:16" ht="32.25" x14ac:dyDescent="0.7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2:16" ht="38.25" x14ac:dyDescent="0.7">
      <c r="B13" s="8" t="s">
        <v>27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</row>
    <row r="14" spans="2:16" ht="30.7" customHeight="1" x14ac:dyDescent="0.7"/>
    <row r="15" spans="2:16" x14ac:dyDescent="0.6">
      <c r="K15" s="9" t="str">
        <f>targetPage</f>
        <v>http://otsuswim.ddns.net/rFlash/joc2023Spring.html</v>
      </c>
    </row>
    <row r="17" spans="2:16" ht="32.25" x14ac:dyDescent="0.7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8.25" x14ac:dyDescent="0.7">
      <c r="B18" s="8" t="s">
        <v>27</v>
      </c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</row>
    <row r="19" spans="2:16" ht="30.7" customHeight="1" x14ac:dyDescent="0.7"/>
    <row r="20" spans="2:16" x14ac:dyDescent="0.6">
      <c r="K20" s="9" t="str">
        <f>targetPage</f>
        <v>http://otsuswim.ddns.net/rFlash/joc2023Spring.html</v>
      </c>
    </row>
    <row r="22" spans="2:16" ht="32.25" x14ac:dyDescent="0.7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8.25" x14ac:dyDescent="0.7">
      <c r="B23" s="8" t="s">
        <v>27</v>
      </c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</row>
    <row r="24" spans="2:16" ht="30.7" customHeight="1" x14ac:dyDescent="0.7"/>
    <row r="25" spans="2:16" x14ac:dyDescent="0.6">
      <c r="K25" s="9" t="str">
        <f>targetPage</f>
        <v>http://otsuswim.ddns.net/rFlash/joc2023Spring.html</v>
      </c>
    </row>
  </sheetData>
  <phoneticPr fontId="9"/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4097" r:id="rId4" name="BarCodeCtrl1">
          <controlPr defaultSize="0" autoLine="0" linkedCell="targetPage" r:id="rId5">
            <anchor moveWithCells="1">
              <from>
                <xdr:col>15</xdr:col>
                <xdr:colOff>223838</xdr:colOff>
                <xdr:row>10</xdr:row>
                <xdr:rowOff>166688</xdr:rowOff>
              </from>
              <to>
                <xdr:col>19</xdr:col>
                <xdr:colOff>209550</xdr:colOff>
                <xdr:row>13</xdr:row>
                <xdr:rowOff>233363</xdr:rowOff>
              </to>
            </anchor>
          </controlPr>
        </control>
      </mc:Choice>
      <mc:Fallback>
        <control shapeId="4097" r:id="rId4" name="BarCodeCtrl1"/>
      </mc:Fallback>
    </mc:AlternateContent>
    <mc:AlternateContent xmlns:mc="http://schemas.openxmlformats.org/markup-compatibility/2006">
      <mc:Choice Requires="x14">
        <control shapeId="4098" r:id="rId6" name="BarCodeCtrl2">
          <controlPr defaultSize="0" autoLine="0" linkedCell="targetPage" r:id="rId5">
            <anchor moveWithCells="1">
              <from>
                <xdr:col>15</xdr:col>
                <xdr:colOff>223838</xdr:colOff>
                <xdr:row>16</xdr:row>
                <xdr:rowOff>166688</xdr:rowOff>
              </from>
              <to>
                <xdr:col>19</xdr:col>
                <xdr:colOff>209550</xdr:colOff>
                <xdr:row>19</xdr:row>
                <xdr:rowOff>71438</xdr:rowOff>
              </to>
            </anchor>
          </controlPr>
        </control>
      </mc:Choice>
      <mc:Fallback>
        <control shapeId="4098" r:id="rId6" name="BarCodeCtrl2"/>
      </mc:Fallback>
    </mc:AlternateContent>
    <mc:AlternateContent xmlns:mc="http://schemas.openxmlformats.org/markup-compatibility/2006">
      <mc:Choice Requires="x14">
        <control shapeId="4099" r:id="rId7" name="BarCodeCtrl3">
          <controlPr defaultSize="0" autoLine="0" linkedCell="targetPage" r:id="rId5">
            <anchor moveWithCells="1">
              <from>
                <xdr:col>15</xdr:col>
                <xdr:colOff>223838</xdr:colOff>
                <xdr:row>21</xdr:row>
                <xdr:rowOff>109538</xdr:rowOff>
              </from>
              <to>
                <xdr:col>19</xdr:col>
                <xdr:colOff>209550</xdr:colOff>
                <xdr:row>24</xdr:row>
                <xdr:rowOff>14288</xdr:rowOff>
              </to>
            </anchor>
          </controlPr>
        </control>
      </mc:Choice>
      <mc:Fallback>
        <control shapeId="4099" r:id="rId7" name="BarCodeCtrl3"/>
      </mc:Fallback>
    </mc:AlternateContent>
    <mc:AlternateContent xmlns:mc="http://schemas.openxmlformats.org/markup-compatibility/2006">
      <mc:Choice Requires="x14">
        <control shapeId="4100" r:id="rId8" name="BarCodeCtrl4">
          <controlPr defaultSize="0" autoLine="0" linkedCell="targetPage" r:id="rId5">
            <anchor moveWithCells="1">
              <from>
                <xdr:col>15</xdr:col>
                <xdr:colOff>223838</xdr:colOff>
                <xdr:row>0</xdr:row>
                <xdr:rowOff>166688</xdr:rowOff>
              </from>
              <to>
                <xdr:col>19</xdr:col>
                <xdr:colOff>209550</xdr:colOff>
                <xdr:row>4</xdr:row>
                <xdr:rowOff>33338</xdr:rowOff>
              </to>
            </anchor>
          </controlPr>
        </control>
      </mc:Choice>
      <mc:Fallback>
        <control shapeId="4100" r:id="rId8" name="BarCodeCtrl4"/>
      </mc:Fallback>
    </mc:AlternateContent>
    <mc:AlternateContent xmlns:mc="http://schemas.openxmlformats.org/markup-compatibility/2006">
      <mc:Choice Requires="x14">
        <control shapeId="4101" r:id="rId9" name="BarCodeCtrl5">
          <controlPr defaultSize="0" autoLine="0" linkedCell="targetPage" r:id="rId5">
            <anchor moveWithCells="1">
              <from>
                <xdr:col>15</xdr:col>
                <xdr:colOff>223838</xdr:colOff>
                <xdr:row>5</xdr:row>
                <xdr:rowOff>166688</xdr:rowOff>
              </from>
              <to>
                <xdr:col>19</xdr:col>
                <xdr:colOff>209550</xdr:colOff>
                <xdr:row>8</xdr:row>
                <xdr:rowOff>233363</xdr:rowOff>
              </to>
            </anchor>
          </controlPr>
        </control>
      </mc:Choice>
      <mc:Fallback>
        <control shapeId="4101" r:id="rId9" name="BarCodeCtrl5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91087-3E97-4CD4-ACCD-1893ED9D9886}">
  <sheetPr codeName="Sheet2"/>
  <dimension ref="B2:AA37"/>
  <sheetViews>
    <sheetView view="pageBreakPreview" zoomScale="60" zoomScaleNormal="100" workbookViewId="0">
      <selection activeCell="A19" sqref="A19:XFD19"/>
    </sheetView>
  </sheetViews>
  <sheetFormatPr defaultColWidth="3" defaultRowHeight="23.1" customHeight="1" x14ac:dyDescent="0.7"/>
  <cols>
    <col min="1" max="1" width="3.4375" customWidth="1"/>
    <col min="16" max="16" width="3.5" customWidth="1"/>
    <col min="25" max="25" width="3.25" customWidth="1"/>
    <col min="26" max="26" width="3.375" customWidth="1"/>
  </cols>
  <sheetData>
    <row r="2" spans="2:27" s="1" customFormat="1" ht="23.1" customHeight="1" x14ac:dyDescent="0.7">
      <c r="AA2" s="1" t="str">
        <f>teamScorePage</f>
        <v>http://otsuswim.ddns.net/rFlash/joc2023Springs.html</v>
      </c>
    </row>
    <row r="3" spans="2:27" ht="23.1" customHeight="1" x14ac:dyDescent="0.7">
      <c r="B3" s="8" t="s">
        <v>29</v>
      </c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5" spans="2:27" ht="23.1" customHeight="1" x14ac:dyDescent="0.6">
      <c r="N5" s="9" t="str">
        <f>teamScorePage</f>
        <v>http://otsuswim.ddns.net/rFlash/joc2023Springs.html</v>
      </c>
    </row>
    <row r="7" spans="2:27" ht="18.7" customHeight="1" x14ac:dyDescent="0.7"/>
    <row r="8" spans="2:27" s="1" customFormat="1" ht="23.1" customHeight="1" x14ac:dyDescent="0.7"/>
    <row r="9" spans="2:27" ht="23.1" customHeight="1" x14ac:dyDescent="0.7">
      <c r="B9" s="8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1" spans="2:27" ht="23.1" customHeight="1" x14ac:dyDescent="0.6">
      <c r="N11" s="9" t="str">
        <f>teamScorePage</f>
        <v>http://otsuswim.ddns.net/rFlash/joc2023Springs.html</v>
      </c>
    </row>
    <row r="14" spans="2:27" s="1" customFormat="1" ht="23.1" customHeight="1" x14ac:dyDescent="0.7"/>
    <row r="15" spans="2:27" ht="23.1" customHeight="1" x14ac:dyDescent="0.7">
      <c r="B15" s="8" t="s">
        <v>29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7" spans="2:27" ht="23.1" customHeight="1" x14ac:dyDescent="0.6">
      <c r="N17" s="9" t="str">
        <f>teamScorePage</f>
        <v>http://otsuswim.ddns.net/rFlash/joc2023Springs.html</v>
      </c>
    </row>
    <row r="18" spans="2:27" ht="22.05" customHeight="1" x14ac:dyDescent="0.7"/>
    <row r="20" spans="2:27" s="1" customFormat="1" ht="23.1" customHeight="1" x14ac:dyDescent="0.7"/>
    <row r="21" spans="2:27" ht="23.1" customHeight="1" x14ac:dyDescent="0.7">
      <c r="B21" s="8" t="s">
        <v>29</v>
      </c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3" spans="2:27" ht="23.1" customHeight="1" x14ac:dyDescent="0.6">
      <c r="N23" s="9" t="str">
        <f>teamScorePage</f>
        <v>http://otsuswim.ddns.net/rFlash/joc2023Springs.html</v>
      </c>
    </row>
    <row r="25" spans="2:27" ht="11" customHeight="1" x14ac:dyDescent="0.7"/>
    <row r="27" spans="2:27" s="1" customFormat="1" ht="23.1" customHeight="1" x14ac:dyDescent="0.7"/>
    <row r="28" spans="2:27" ht="23.1" customHeight="1" x14ac:dyDescent="0.7">
      <c r="B28" s="8" t="s">
        <v>29</v>
      </c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30" spans="2:27" ht="23.1" customHeight="1" x14ac:dyDescent="0.6">
      <c r="N30" s="9" t="str">
        <f>teamScorePage</f>
        <v>http://otsuswim.ddns.net/rFlash/joc2023Springs.html</v>
      </c>
    </row>
    <row r="37" s="1" customFormat="1" ht="23.1" customHeight="1" x14ac:dyDescent="0.7"/>
  </sheetData>
  <phoneticPr fontId="9"/>
  <pageMargins left="0.7" right="0.7" top="0.75" bottom="0.75" header="0.3" footer="0.3"/>
  <pageSetup paperSize="9" scale="9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9" r:id="rId4" name="BarCodeCtrl5">
          <controlPr defaultSize="0" autoLine="0" linkedCell="teamScorePage" r:id="rId5">
            <anchor moveWithCells="1">
              <from>
                <xdr:col>17</xdr:col>
                <xdr:colOff>100013</xdr:colOff>
                <xdr:row>25</xdr:row>
                <xdr:rowOff>214313</xdr:rowOff>
              </from>
              <to>
                <xdr:col>22</xdr:col>
                <xdr:colOff>142875</xdr:colOff>
                <xdr:row>29</xdr:row>
                <xdr:rowOff>238125</xdr:rowOff>
              </to>
            </anchor>
          </controlPr>
        </control>
      </mc:Choice>
      <mc:Fallback>
        <control shapeId="6149" r:id="rId4" name="BarCodeCtrl5"/>
      </mc:Fallback>
    </mc:AlternateContent>
    <mc:AlternateContent xmlns:mc="http://schemas.openxmlformats.org/markup-compatibility/2006">
      <mc:Choice Requires="x14">
        <control shapeId="6148" r:id="rId6" name="BarCodeCtrl4">
          <controlPr defaultSize="0" autoLine="0" linkedCell="teamScorePage" r:id="rId5">
            <anchor moveWithCells="1">
              <from>
                <xdr:col>17</xdr:col>
                <xdr:colOff>76200</xdr:colOff>
                <xdr:row>18</xdr:row>
                <xdr:rowOff>133350</xdr:rowOff>
              </from>
              <to>
                <xdr:col>22</xdr:col>
                <xdr:colOff>119063</xdr:colOff>
                <xdr:row>22</xdr:row>
                <xdr:rowOff>157163</xdr:rowOff>
              </to>
            </anchor>
          </controlPr>
        </control>
      </mc:Choice>
      <mc:Fallback>
        <control shapeId="6148" r:id="rId6" name="BarCodeCtrl4"/>
      </mc:Fallback>
    </mc:AlternateContent>
    <mc:AlternateContent xmlns:mc="http://schemas.openxmlformats.org/markup-compatibility/2006">
      <mc:Choice Requires="x14">
        <control shapeId="6147" r:id="rId7" name="BarCodeCtrl3">
          <controlPr defaultSize="0" autoLine="0" linkedCell="teamScorePage" r:id="rId5">
            <anchor moveWithCells="1">
              <from>
                <xdr:col>17</xdr:col>
                <xdr:colOff>47625</xdr:colOff>
                <xdr:row>12</xdr:row>
                <xdr:rowOff>238125</xdr:rowOff>
              </from>
              <to>
                <xdr:col>22</xdr:col>
                <xdr:colOff>90488</xdr:colOff>
                <xdr:row>16</xdr:row>
                <xdr:rowOff>261938</xdr:rowOff>
              </to>
            </anchor>
          </controlPr>
        </control>
      </mc:Choice>
      <mc:Fallback>
        <control shapeId="6147" r:id="rId7" name="BarCodeCtrl3"/>
      </mc:Fallback>
    </mc:AlternateContent>
    <mc:AlternateContent xmlns:mc="http://schemas.openxmlformats.org/markup-compatibility/2006">
      <mc:Choice Requires="x14">
        <control shapeId="6146" r:id="rId8" name="BarCodeCtrl2">
          <controlPr defaultSize="0" autoLine="0" autoPict="0" linkedCell="teamScorePage" r:id="rId5">
            <anchor moveWithCells="1">
              <from>
                <xdr:col>17</xdr:col>
                <xdr:colOff>57150</xdr:colOff>
                <xdr:row>6</xdr:row>
                <xdr:rowOff>133350</xdr:rowOff>
              </from>
              <to>
                <xdr:col>22</xdr:col>
                <xdr:colOff>0</xdr:colOff>
                <xdr:row>10</xdr:row>
                <xdr:rowOff>114300</xdr:rowOff>
              </to>
            </anchor>
          </controlPr>
        </control>
      </mc:Choice>
      <mc:Fallback>
        <control shapeId="6146" r:id="rId8" name="BarCodeCtrl2"/>
      </mc:Fallback>
    </mc:AlternateContent>
    <mc:AlternateContent xmlns:mc="http://schemas.openxmlformats.org/markup-compatibility/2006">
      <mc:Choice Requires="x14">
        <control shapeId="6145" r:id="rId9" name="BarCodeCtrl1">
          <controlPr defaultSize="0" autoLine="0" linkedCell="teamScorePage" r:id="rId5">
            <anchor moveWithCells="1">
              <from>
                <xdr:col>17</xdr:col>
                <xdr:colOff>123825</xdr:colOff>
                <xdr:row>0</xdr:row>
                <xdr:rowOff>166688</xdr:rowOff>
              </from>
              <to>
                <xdr:col>22</xdr:col>
                <xdr:colOff>166688</xdr:colOff>
                <xdr:row>4</xdr:row>
                <xdr:rowOff>190500</xdr:rowOff>
              </to>
            </anchor>
          </controlPr>
        </control>
      </mc:Choice>
      <mc:Fallback>
        <control shapeId="6145" r:id="rId9" name="BarCodeCtr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21</vt:i4>
      </vt:variant>
    </vt:vector>
  </HeadingPairs>
  <TitlesOfParts>
    <vt:vector size="24" baseType="lpstr">
      <vt:lpstr>Menu</vt:lpstr>
      <vt:lpstr>qr code</vt:lpstr>
      <vt:lpstr>qr code score</vt:lpstr>
      <vt:lpstr>autoGenPeriod</vt:lpstr>
      <vt:lpstr>classColumn</vt:lpstr>
      <vt:lpstr>distinationPath</vt:lpstr>
      <vt:lpstr>htmlprefix</vt:lpstr>
      <vt:lpstr>indexHtmlName</vt:lpstr>
      <vt:lpstr>indivScore</vt:lpstr>
      <vt:lpstr>kanproHTMLName</vt:lpstr>
      <vt:lpstr>kentaiFlag</vt:lpstr>
      <vt:lpstr>mdbFilePath</vt:lpstr>
      <vt:lpstr>outputPath</vt:lpstr>
      <vt:lpstr>'qr code score'!Print_Area</vt:lpstr>
      <vt:lpstr>rankingHTMLName</vt:lpstr>
      <vt:lpstr>rankRow</vt:lpstr>
      <vt:lpstr>relayScore</vt:lpstr>
      <vt:lpstr>ServerName</vt:lpstr>
      <vt:lpstr>skipConfirmation</vt:lpstr>
      <vt:lpstr>targetPage</vt:lpstr>
      <vt:lpstr>teamCompe</vt:lpstr>
      <vt:lpstr>teamScoreHTML</vt:lpstr>
      <vt:lpstr>teamScorePage</vt:lpstr>
      <vt:lpstr>tempFolder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加藤美孝</dc:creator>
  <cp:lastModifiedBy>加藤美孝</cp:lastModifiedBy>
  <cp:lastPrinted>2023-02-11T21:41:42Z</cp:lastPrinted>
  <dcterms:created xsi:type="dcterms:W3CDTF">2020-11-16T09:43:08Z</dcterms:created>
  <dcterms:modified xsi:type="dcterms:W3CDTF">2023-02-12T10:23:05Z</dcterms:modified>
</cp:coreProperties>
</file>