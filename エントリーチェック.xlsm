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kato\Dropbox\Private\水泳協会\競泳補助ツール\"/>
    </mc:Choice>
  </mc:AlternateContent>
  <xr:revisionPtr revIDLastSave="0" documentId="13_ncr:1_{D8F1204B-5B3A-4BE7-AEBC-08C21CB546EE}" xr6:coauthVersionLast="47" xr6:coauthVersionMax="47" xr10:uidLastSave="{00000000-0000-0000-0000-000000000000}"/>
  <bookViews>
    <workbookView xWindow="6960" yWindow="253" windowWidth="18093" windowHeight="11134" xr2:uid="{B5535839-F92B-4FE5-B2DC-19176A758622}"/>
  </bookViews>
  <sheets>
    <sheet name="大会選択" sheetId="3" r:id="rId1"/>
    <sheet name="競技ごとの参加人数" sheetId="4" r:id="rId2"/>
  </sheets>
  <functionGroups builtInGroupCount="19"/>
  <definedNames>
    <definedName name="dataBasePath">大会選択!$C$2</definedName>
    <definedName name="furigana1">#REF!</definedName>
    <definedName name="furigana1_0">#REF!</definedName>
    <definedName name="furigana1_1">#REF!</definedName>
    <definedName name="furigana1_2">#REF!</definedName>
    <definedName name="furigana1_3">#REF!</definedName>
    <definedName name="furigana2">#REF!</definedName>
    <definedName name="furigana2_0">#REF!</definedName>
    <definedName name="furigana2_1">#REF!</definedName>
    <definedName name="furigana2_2">#REF!</definedName>
    <definedName name="furigana2_3">#REF!</definedName>
    <definedName name="furigana3">#REF!</definedName>
    <definedName name="furigana3_0">#REF!</definedName>
    <definedName name="furigana3_1">#REF!</definedName>
    <definedName name="furigana3_2">#REF!</definedName>
    <definedName name="furigana3_3">#REF!</definedName>
    <definedName name="furigana4">#REF!</definedName>
    <definedName name="furigana4_0">#REF!</definedName>
    <definedName name="furigana4_1">#REF!</definedName>
    <definedName name="furigana4_2">#REF!</definedName>
    <definedName name="furigana4_3">#REF!</definedName>
    <definedName name="furigana5">#REF!</definedName>
    <definedName name="furigana5_0">#REF!</definedName>
    <definedName name="furigana5_1">#REF!</definedName>
    <definedName name="furigana5_2">#REF!</definedName>
    <definedName name="furigana5_3">#REF!</definedName>
    <definedName name="furigana6">#REF!</definedName>
    <definedName name="furigana6_0">#REF!</definedName>
    <definedName name="furigana6_1">#REF!</definedName>
    <definedName name="furigana6_2">#REF!</definedName>
    <definedName name="furigana6_3">#REF!</definedName>
    <definedName name="furigana7">#REF!</definedName>
    <definedName name="furigana7_0">#REF!</definedName>
    <definedName name="furigana7_1">#REF!</definedName>
    <definedName name="furigana7_2">#REF!</definedName>
    <definedName name="furigana7_3">#REF!</definedName>
    <definedName name="furigana8">#REF!</definedName>
    <definedName name="furigana8_0">#REF!</definedName>
    <definedName name="furigana8_1">#REF!</definedName>
    <definedName name="furigana8_2">#REF!</definedName>
    <definedName name="furigana8_3">#REF!</definedName>
    <definedName name="furigana9">#REF!</definedName>
    <definedName name="furigana9_0">#REF!</definedName>
    <definedName name="furigana9_1">#REF!</definedName>
    <definedName name="furigana9_2">#REF!</definedName>
    <definedName name="furigana9_3">#REF!</definedName>
    <definedName name="Kumi">#REF!</definedName>
    <definedName name="Lane1">#REF!</definedName>
    <definedName name="lane1_0">#REF!</definedName>
    <definedName name="lane1_1">#REF!</definedName>
    <definedName name="lane1_2">#REF!</definedName>
    <definedName name="lane1_3">#REF!</definedName>
    <definedName name="Lane2">#REF!</definedName>
    <definedName name="lane2_0">#REF!</definedName>
    <definedName name="lane2_1">#REF!</definedName>
    <definedName name="lane2_2">#REF!</definedName>
    <definedName name="lane2_3">#REF!</definedName>
    <definedName name="Lane3">#REF!</definedName>
    <definedName name="lane3_0">#REF!</definedName>
    <definedName name="lane3_1">#REF!</definedName>
    <definedName name="lane3_2">#REF!</definedName>
    <definedName name="lane3_3">#REF!</definedName>
    <definedName name="Lane4">#REF!</definedName>
    <definedName name="lane4_0">#REF!</definedName>
    <definedName name="lane4_1">#REF!</definedName>
    <definedName name="lane4_2">#REF!</definedName>
    <definedName name="lane4_3">#REF!</definedName>
    <definedName name="Lane5">#REF!</definedName>
    <definedName name="lane5_0">#REF!</definedName>
    <definedName name="lane5_1">#REF!</definedName>
    <definedName name="lane5_2">#REF!</definedName>
    <definedName name="lane5_3">#REF!</definedName>
    <definedName name="Lane6">#REF!</definedName>
    <definedName name="lane6_0">#REF!</definedName>
    <definedName name="lane6_1">#REF!</definedName>
    <definedName name="lane6_2">#REF!</definedName>
    <definedName name="lane6_3">#REF!</definedName>
    <definedName name="Lane7">#REF!</definedName>
    <definedName name="lane7_0">#REF!</definedName>
    <definedName name="lane7_1">#REF!</definedName>
    <definedName name="lane7_2">#REF!</definedName>
    <definedName name="lane7_3">#REF!</definedName>
    <definedName name="Lane8">#REF!</definedName>
    <definedName name="lane8_0">#REF!</definedName>
    <definedName name="lane8_1">#REF!</definedName>
    <definedName name="lane8_2">#REF!</definedName>
    <definedName name="lane8_3">#REF!</definedName>
    <definedName name="Lane9">#REF!</definedName>
    <definedName name="lane9_0">#REF!</definedName>
    <definedName name="lane9_1">#REF!</definedName>
    <definedName name="lane9_2">#REF!</definedName>
    <definedName name="lane9_3">#REF!</definedName>
    <definedName name="PrgNo">#REF!</definedName>
    <definedName name="raceNam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8" i="4" l="1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3" i="4"/>
  <c r="H4" i="4"/>
  <c r="H5" i="4"/>
  <c r="H6" i="4"/>
  <c r="H7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4" i="4"/>
  <c r="G5" i="4"/>
  <c r="G3" i="4"/>
</calcChain>
</file>

<file path=xl/sharedStrings.xml><?xml version="1.0" encoding="utf-8"?>
<sst xmlns="http://schemas.openxmlformats.org/spreadsheetml/2006/main" count="178" uniqueCount="169">
  <si>
    <t>データベースパス</t>
    <phoneticPr fontId="1"/>
  </si>
  <si>
    <t>ファイル名</t>
    <rPh sb="4" eb="5">
      <t>メイ</t>
    </rPh>
    <phoneticPr fontId="1"/>
  </si>
  <si>
    <t>大会名</t>
    <rPh sb="0" eb="3">
      <t>タイカイメイ</t>
    </rPh>
    <phoneticPr fontId="1"/>
  </si>
  <si>
    <t>期日</t>
    <rPh sb="0" eb="2">
      <t>キジツ</t>
    </rPh>
    <phoneticPr fontId="1"/>
  </si>
  <si>
    <t>開催地</t>
    <rPh sb="0" eb="3">
      <t>カイサイチ</t>
    </rPh>
    <phoneticPr fontId="1"/>
  </si>
  <si>
    <t>皇子が丘公園プール</t>
  </si>
  <si>
    <t>Swim01.mdb</t>
  </si>
  <si>
    <t>Swim02.mdb</t>
  </si>
  <si>
    <t>Swim03.mdb</t>
  </si>
  <si>
    <t>Swim04.mdb</t>
  </si>
  <si>
    <t>能登川プール</t>
  </si>
  <si>
    <t>大津市皇子が丘公園プール</t>
  </si>
  <si>
    <t>参加人数</t>
    <rPh sb="0" eb="4">
      <t>サンカニンズウ</t>
    </rPh>
    <phoneticPr fontId="1"/>
  </si>
  <si>
    <t>競技名　(種目名)</t>
    <rPh sb="0" eb="2">
      <t>キョウギ</t>
    </rPh>
    <rPh sb="2" eb="3">
      <t>メイ</t>
    </rPh>
    <rPh sb="5" eb="8">
      <t>シュモクメイ</t>
    </rPh>
    <phoneticPr fontId="1"/>
  </si>
  <si>
    <t>競技番号</t>
    <rPh sb="0" eb="4">
      <t>キョウギバンゴウ</t>
    </rPh>
    <phoneticPr fontId="1"/>
  </si>
  <si>
    <t>合同可</t>
    <rPh sb="0" eb="2">
      <t>ゴウドウ</t>
    </rPh>
    <rPh sb="2" eb="3">
      <t>カ</t>
    </rPh>
    <phoneticPr fontId="1"/>
  </si>
  <si>
    <t>組数</t>
    <rPh sb="0" eb="2">
      <t>クミスウ</t>
    </rPh>
    <phoneticPr fontId="1"/>
  </si>
  <si>
    <t>組数(確認用)</t>
    <rPh sb="0" eb="2">
      <t>クミスウ</t>
    </rPh>
    <rPh sb="3" eb="6">
      <t>カクニンヨウ</t>
    </rPh>
    <phoneticPr fontId="1"/>
  </si>
  <si>
    <t xml:space="preserve">レーン数==&gt; </t>
    <rPh sb="3" eb="4">
      <t>スウ</t>
    </rPh>
    <phoneticPr fontId="1"/>
  </si>
  <si>
    <t>第48回滋賀県春季室内選手権水泳競技大会</t>
  </si>
  <si>
    <t>第44回全国JOCジュニアオリンピック春季滋賀県予選会</t>
  </si>
  <si>
    <t>C:\Users\ykato\Dropbox\Private\水泳協会\SwimDB\DB2022</t>
    <phoneticPr fontId="1"/>
  </si>
  <si>
    <t>合同を考慮した組数</t>
    <rPh sb="0" eb="2">
      <t>ゴウドウ</t>
    </rPh>
    <rPh sb="3" eb="5">
      <t>コウリョ</t>
    </rPh>
    <rPh sb="7" eb="9">
      <t>クミスウ</t>
    </rPh>
    <phoneticPr fontId="1"/>
  </si>
  <si>
    <t>Swim05.mdb</t>
  </si>
  <si>
    <t>女子60～69歳 100m個人メドレータイム決勝</t>
  </si>
  <si>
    <t>男子50～59歳 100m個人メドレータイム決勝</t>
  </si>
  <si>
    <t>男子60～69歳 100m個人メドレータイム決勝</t>
  </si>
  <si>
    <t>男子30～39歳  50m背泳ぎタイム決勝</t>
  </si>
  <si>
    <t>男子30～39歳  50m自由形タイム決勝</t>
  </si>
  <si>
    <t>男子40～49歳  50m自由形タイム決勝</t>
  </si>
  <si>
    <t>男子50～59歳  50m自由形タイム決勝</t>
  </si>
  <si>
    <t>女子70歳以上  25m背泳ぎタイム決勝</t>
  </si>
  <si>
    <t>男子50～59歳  25m背泳ぎタイム決勝</t>
  </si>
  <si>
    <t>男子60～69歳  25m背泳ぎタイム決勝</t>
  </si>
  <si>
    <t>女子70歳以上  25m自由形タイム決勝</t>
  </si>
  <si>
    <t>男子50～59歳  25m自由形タイム決勝</t>
  </si>
  <si>
    <t>男子30～39歳 100m自由形タイム決勝</t>
  </si>
  <si>
    <t>start Lane</t>
    <phoneticPr fontId="1"/>
  </si>
  <si>
    <t>男子50～59歳  50m背泳ぎタイム決勝</t>
  </si>
  <si>
    <t>男子30～39歳  25m自由形タイム決勝</t>
  </si>
  <si>
    <t>男子40～49歳  25m自由形タイム決勝</t>
  </si>
  <si>
    <t>第126回滋賀県ジュニア水泳競技大会</t>
  </si>
  <si>
    <t>第83回滋賀県選手権兼小学生選手権水泳競技大会</t>
  </si>
  <si>
    <t>第45回全国JOCジュニアオリンピックカップ夏季大会滋</t>
  </si>
  <si>
    <t>Swim07.mdb</t>
  </si>
  <si>
    <t>第75回滋賀県民体育大会(水泳競技一般の部)</t>
  </si>
  <si>
    <t>滋賀県立障害者福祉ｾﾝﾀｰ室内ﾌﾟｰﾙ</t>
  </si>
  <si>
    <t>Swim09.mdb</t>
  </si>
  <si>
    <t>第39回大津市選手権水泳競技大会（秋季）</t>
  </si>
  <si>
    <t>皇子が丘公園 室内プール（25ｍ公認）</t>
  </si>
  <si>
    <t>Swim10.mdb</t>
  </si>
  <si>
    <t>Swim09.preEntry.mdb</t>
  </si>
  <si>
    <t>第39回大津市選手権水泳競技大会（秋季）</t>
    <phoneticPr fontId="1"/>
  </si>
  <si>
    <t>女子小学5・6年生 200m個人メドレータイム決勝</t>
  </si>
  <si>
    <t>女子中学生 200m個人メドレータイム決勝</t>
  </si>
  <si>
    <t>女子29歳以下 200m個人メドレータイム決勝</t>
  </si>
  <si>
    <t>男子小学4年生以下 100m個人メドレータイム決勝</t>
  </si>
  <si>
    <t>男子小学5・6年生 200m個人メドレータイム決勝</t>
  </si>
  <si>
    <t>男子中学生 200m個人メドレータイム決勝</t>
  </si>
  <si>
    <t>男子29歳以下 200m個人メドレータイム決勝</t>
  </si>
  <si>
    <t>女子小学4年生以下  50m自由形タイム決勝</t>
  </si>
  <si>
    <t>女子小学5・6年生  50m自由形タイム決勝</t>
  </si>
  <si>
    <t>女子中学生  50m自由形タイム決勝</t>
  </si>
  <si>
    <t>女子29歳以下  50m自由形タイム決勝</t>
  </si>
  <si>
    <t>女子40～49歳  50m自由形タイム決勝</t>
  </si>
  <si>
    <t>女子70歳以上  50m自由形タイム決勝</t>
  </si>
  <si>
    <t>男子小学4年生以下  50m自由形タイム決勝</t>
  </si>
  <si>
    <t>男子小学5・6年生  50m自由形タイム決勝</t>
  </si>
  <si>
    <t>男子中学生  50m自由形タイム決勝</t>
  </si>
  <si>
    <t>男子29歳以下  50m自由形タイム決勝</t>
  </si>
  <si>
    <t>男子60～69歳  50m自由形タイム決勝</t>
  </si>
  <si>
    <t>女子小学4年生以下  50mバタフライタイム決勝</t>
  </si>
  <si>
    <t>女子小学5・6年生  50mバタフライタイム決勝</t>
  </si>
  <si>
    <t>女子中学生  50mバタフライタイム決勝</t>
  </si>
  <si>
    <t>女子60～69歳  50mバタフライタイム決勝</t>
  </si>
  <si>
    <t>男子小学4年生以下  50mバタフライタイム決勝</t>
  </si>
  <si>
    <t>男子小学5・6年生  50mバタフライタイム決勝</t>
  </si>
  <si>
    <t>男子中学生  50mバタフライタイム決勝</t>
  </si>
  <si>
    <t>男子29歳以下  50mバタフライタイム決勝</t>
  </si>
  <si>
    <t>男子70歳以上  50mバタフライタイム決勝</t>
  </si>
  <si>
    <t>女子小学4年生以下  50m背泳ぎタイム決勝</t>
  </si>
  <si>
    <t>女子小学5・6年生  50m背泳ぎタイム決勝</t>
  </si>
  <si>
    <t>女子中学生  50m背泳ぎタイム決勝</t>
  </si>
  <si>
    <t>女子29歳以下  50m背泳ぎタイム決勝</t>
  </si>
  <si>
    <t>男子小学4年生以下  50m背泳ぎタイム決勝</t>
  </si>
  <si>
    <t>男子小学5・6年生  50m背泳ぎタイム決勝</t>
  </si>
  <si>
    <t>男子中学生  50m背泳ぎタイム決勝</t>
  </si>
  <si>
    <t>男子29歳以下  50m背泳ぎタイム決勝</t>
  </si>
  <si>
    <t>男子40～49歳  50m背泳ぎタイム決勝</t>
  </si>
  <si>
    <t>女子小学4年生以下  50m平泳ぎタイム決勝</t>
  </si>
  <si>
    <t>女子小学5・6年生  50m平泳ぎタイム決勝</t>
  </si>
  <si>
    <t>女子中学生  50m平泳ぎタイム決勝</t>
  </si>
  <si>
    <t>女子29歳以下  50m平泳ぎタイム決勝</t>
  </si>
  <si>
    <t>女子40～49歳  50m平泳ぎタイム決勝</t>
  </si>
  <si>
    <t>男子小学4年生以下  50m平泳ぎタイム決勝</t>
  </si>
  <si>
    <t>男子小学5・6年生  50m平泳ぎタイム決勝</t>
  </si>
  <si>
    <t>男子中学生  50m平泳ぎタイム決勝</t>
  </si>
  <si>
    <t>男子29歳以下  50m平泳ぎタイム決勝</t>
  </si>
  <si>
    <t>男子30～39歳  50m平泳ぎタイム決勝</t>
  </si>
  <si>
    <t>男子50～59歳  50m平泳ぎタイム決勝</t>
  </si>
  <si>
    <t>男子70歳以上  50m平泳ぎタイム決勝</t>
  </si>
  <si>
    <t>女子小学4年生以下  25m自由形タイム決勝</t>
  </si>
  <si>
    <t>女子中学生  25m自由形タイム決勝</t>
  </si>
  <si>
    <t>女子29歳以下  25m自由形タイム決勝</t>
  </si>
  <si>
    <t>女子60～69歳  25m自由形タイム決勝</t>
  </si>
  <si>
    <t>男子小学4年生以下  25m自由形タイム決勝</t>
  </si>
  <si>
    <t>男子小学5・6年生  25m自由形タイム決勝</t>
  </si>
  <si>
    <t>男子中学生  25m自由形タイム決勝</t>
  </si>
  <si>
    <t>男子29歳以下  25m自由形タイム決勝</t>
  </si>
  <si>
    <t>女子小学4年生以下  25mバタフライタイム決勝</t>
  </si>
  <si>
    <t>女子小学5・6年生  25mバタフライタイム決勝</t>
  </si>
  <si>
    <t>女子中学生  25mバタフライタイム決勝</t>
  </si>
  <si>
    <t>女子40～49歳  25mバタフライタイム決勝</t>
  </si>
  <si>
    <t>男子小学4年生以下  25mバタフライタイム決勝</t>
  </si>
  <si>
    <t>男子小学5・6年生  25mバタフライタイム決勝</t>
  </si>
  <si>
    <t>男子中学生  25mバタフライタイム決勝</t>
  </si>
  <si>
    <t>男子29歳以下  25mバタフライタイム決勝</t>
  </si>
  <si>
    <t>女子小学4年生以下  25m背泳ぎタイム決勝</t>
  </si>
  <si>
    <t>女子小学5・6年生  25m背泳ぎタイム決勝</t>
  </si>
  <si>
    <t>女子中学生  25m背泳ぎタイム決勝</t>
  </si>
  <si>
    <t>男子小学4年生以下  25m背泳ぎタイム決勝</t>
  </si>
  <si>
    <t>男子小学5・6年生  25m背泳ぎタイム決勝</t>
  </si>
  <si>
    <t>男子29歳以下  25m背泳ぎタイム決勝</t>
  </si>
  <si>
    <t>男子40～49歳  25m背泳ぎタイム決勝</t>
  </si>
  <si>
    <t>男子70歳以上  25m背泳ぎタイム決勝</t>
  </si>
  <si>
    <t>女子小学4年生以下  25m平泳ぎタイム決勝</t>
  </si>
  <si>
    <t>男子小学4年生以下  25m平泳ぎタイム決勝</t>
  </si>
  <si>
    <t>男子小学5・6年生  25m平泳ぎタイム決勝</t>
  </si>
  <si>
    <t>男子中学生  25m平泳ぎタイム決勝</t>
  </si>
  <si>
    <t>男子29歳以下  25m平泳ぎタイム決勝</t>
  </si>
  <si>
    <t>男子40～49歳  25m平泳ぎタイム決勝</t>
  </si>
  <si>
    <t>女子小学5・6年生 100m自由形タイム決勝</t>
  </si>
  <si>
    <t>女子中学生 100m自由形タイム決勝</t>
  </si>
  <si>
    <t>女子29歳以下 100m自由形タイム決勝</t>
  </si>
  <si>
    <t>男子小学5・6年生 100m自由形タイム決勝</t>
  </si>
  <si>
    <t>男子中学生 100m自由形タイム決勝</t>
  </si>
  <si>
    <t>男子29歳以下 100m自由形タイム決勝</t>
  </si>
  <si>
    <t>女子小学5・6年生 100mバタフライタイム決勝</t>
  </si>
  <si>
    <t>女子中学生 100mバタフライタイム決勝</t>
  </si>
  <si>
    <t>女子29歳以下 100mバタフライタイム決勝</t>
  </si>
  <si>
    <t>男子中学生 100mバタフライタイム決勝</t>
  </si>
  <si>
    <t>男子29歳以下 100mバタフライタイム決勝</t>
  </si>
  <si>
    <t>女子小学5・6年生 100m背泳ぎタイム決勝</t>
  </si>
  <si>
    <t>女子中学生 100m背泳ぎタイム決勝</t>
  </si>
  <si>
    <t>女子29歳以下 100m背泳ぎタイム決勝</t>
  </si>
  <si>
    <t>男子小学5・6年生 100m背泳ぎタイム決勝</t>
  </si>
  <si>
    <t>男子中学生 100m背泳ぎタイム決勝</t>
  </si>
  <si>
    <t>男子29歳以下 100m背泳ぎタイム決勝</t>
  </si>
  <si>
    <t>男子30～39歳 100m背泳ぎタイム決勝</t>
  </si>
  <si>
    <t>女子小学5・6年生 100m平泳ぎタイム決勝</t>
  </si>
  <si>
    <t>女子中学生 100m平泳ぎタイム決勝</t>
  </si>
  <si>
    <t>女子29歳以下 100m平泳ぎタイム決勝</t>
  </si>
  <si>
    <t>男子小学5・6年生 100m平泳ぎタイム決勝</t>
  </si>
  <si>
    <t>男子中学生 100m平泳ぎタイム決勝</t>
  </si>
  <si>
    <t>男子29歳以下 100m平泳ぎタイム決勝</t>
  </si>
  <si>
    <t>女子小学生 200mメドレーリレータイム決勝</t>
  </si>
  <si>
    <t>女子中学生 200mメドレーリレータイム決勝</t>
  </si>
  <si>
    <t>女子29歳以下 200mメドレーリレータイム決勝</t>
  </si>
  <si>
    <t>男子小学生 200mメドレーリレータイム決勝</t>
  </si>
  <si>
    <t>男子中学生 200mメドレーリレータイム決勝</t>
  </si>
  <si>
    <t>男子29歳以下 200mメドレーリレータイム決勝</t>
  </si>
  <si>
    <t>女子小学生 200mリレータイム決勝</t>
  </si>
  <si>
    <t>女子中学生 200mリレータイム決勝</t>
  </si>
  <si>
    <t>女子29歳以下 200mリレータイム決勝</t>
  </si>
  <si>
    <t>男子小学生 200mリレータイム決勝</t>
  </si>
  <si>
    <t>男子中学生 200mリレータイム決勝</t>
  </si>
  <si>
    <t>男子29歳以下 200mリレータイム決勝</t>
  </si>
  <si>
    <t>Swim09.bk.mdb</t>
  </si>
  <si>
    <t>Swim09.pret.mdb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</si>
</sst>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rgb="FF000000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horizontal="left" vertical="center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vertical="center" shrinkToFit="1"/>
    </xf>
    <xf numFmtId="0" fontId="2" fillId="0" borderId="0" xfId="0" applyFont="1" applyAlignment="1">
      <alignment horizontal="right" vertical="center"/>
    </xf>
    <xf numFmtId="0" fontId="2" fillId="0" borderId="2" xfId="0" applyFont="1" applyBorder="1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2713567</xdr:colOff>
          <xdr:row>2</xdr:row>
          <xdr:rowOff>97367</xdr:rowOff>
        </xdr:from>
        <xdr:to>
          <xdr:col>2</xdr:col>
          <xdr:colOff>3437467</xdr:colOff>
          <xdr:row>3</xdr:row>
          <xdr:rowOff>228600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21167</xdr:colOff>
          <xdr:row>2</xdr:row>
          <xdr:rowOff>67733</xdr:rowOff>
        </xdr:from>
        <xdr:to>
          <xdr:col>2</xdr:col>
          <xdr:colOff>783167</xdr:colOff>
          <xdr:row>3</xdr:row>
          <xdr:rowOff>228600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パス設定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1164167</xdr:colOff>
          <xdr:row>2</xdr:row>
          <xdr:rowOff>84667</xdr:rowOff>
        </xdr:from>
        <xdr:to>
          <xdr:col>2</xdr:col>
          <xdr:colOff>2209800</xdr:colOff>
          <xdr:row>3</xdr:row>
          <xdr:rowOff>228600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ＭＳ ゴシック"/>
                  <a:ea typeface="ＭＳ ゴシック"/>
                </a:rPr>
                <a:t>大会名読込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35123-55A9-4701-8CD2-6D533FF3B4C0}">
  <sheetPr codeName="Sheet3"/>
  <dimension ref="A2:E103"/>
  <sheetViews>
    <sheetView tabSelected="1" workbookViewId="0">
      <pane ySplit="5" topLeftCell="A7" activePane="bottomLeft" state="frozen"/>
      <selection pane="bottomLeft" activeCell="B13" sqref="B13"/>
    </sheetView>
  </sheetViews>
  <sheetFormatPr defaultRowHeight="18" x14ac:dyDescent="0.8"/>
  <cols>
    <col min="1" max="1" width="7.609375" customWidth="1"/>
    <col min="2" max="2" width="15.21875" customWidth="1"/>
    <col min="3" max="3" width="66" customWidth="1"/>
    <col min="4" max="4" width="22.5" style="2" customWidth="1"/>
    <col min="5" max="5" width="17" customWidth="1"/>
  </cols>
  <sheetData>
    <row r="2" spans="1:5" ht="22.7" x14ac:dyDescent="0.8">
      <c r="A2" s="5" t="s">
        <v>0</v>
      </c>
      <c r="B2" s="6"/>
      <c r="C2" s="1" t="s">
        <v>21</v>
      </c>
    </row>
    <row r="4" spans="1:5" ht="21.45" customHeight="1" x14ac:dyDescent="0.8"/>
    <row r="5" spans="1:5" x14ac:dyDescent="0.8">
      <c r="B5" t="s">
        <v>1</v>
      </c>
      <c r="C5" t="s">
        <v>2</v>
      </c>
      <c r="D5" s="2" t="s">
        <v>3</v>
      </c>
      <c r="E5" t="s">
        <v>4</v>
      </c>
    </row>
    <row r="6" spans="1:5" x14ac:dyDescent="0.8">
      <c r="B6" t="s">
        <v>6</v>
      </c>
      <c r="C6" t="s">
        <v>19</v>
      </c>
      <c r="D6" s="3">
        <v>44584</v>
      </c>
      <c r="E6" t="s">
        <v>11</v>
      </c>
    </row>
    <row r="7" spans="1:5" x14ac:dyDescent="0.8">
      <c r="B7" t="s">
        <v>7</v>
      </c>
      <c r="C7" t="s">
        <v>20</v>
      </c>
      <c r="D7" s="3">
        <v>44605</v>
      </c>
      <c r="E7" t="s">
        <v>5</v>
      </c>
    </row>
    <row r="8" spans="1:5" x14ac:dyDescent="0.8">
      <c r="B8" t="s">
        <v>8</v>
      </c>
      <c r="C8" t="s">
        <v>41</v>
      </c>
      <c r="D8" s="3">
        <v>44738</v>
      </c>
      <c r="E8" t="s">
        <v>10</v>
      </c>
    </row>
    <row r="9" spans="1:5" x14ac:dyDescent="0.8">
      <c r="B9" t="s">
        <v>9</v>
      </c>
      <c r="C9" t="s">
        <v>42</v>
      </c>
      <c r="D9" s="3">
        <v>44745</v>
      </c>
      <c r="E9" t="s">
        <v>5</v>
      </c>
    </row>
    <row r="10" spans="1:5" x14ac:dyDescent="0.8">
      <c r="B10" t="s">
        <v>23</v>
      </c>
      <c r="C10" t="s">
        <v>43</v>
      </c>
      <c r="D10" s="3">
        <v>44752</v>
      </c>
    </row>
    <row r="11" spans="1:5" x14ac:dyDescent="0.8">
      <c r="B11" t="s">
        <v>44</v>
      </c>
      <c r="C11" t="s">
        <v>45</v>
      </c>
      <c r="D11" s="3">
        <v>44780</v>
      </c>
      <c r="E11" t="s">
        <v>46</v>
      </c>
    </row>
    <row r="12" spans="1:5" x14ac:dyDescent="0.8">
      <c r="B12" t="s">
        <v>167</v>
      </c>
      <c r="C12" t="s">
        <v>48</v>
      </c>
      <c r="D12" s="3">
        <v>44808</v>
      </c>
      <c r="E12" t="s">
        <v>49</v>
      </c>
    </row>
    <row r="13" spans="1:5" x14ac:dyDescent="0.8">
      <c r="B13" t="s">
        <v>47</v>
      </c>
      <c r="C13" t="s">
        <v>48</v>
      </c>
      <c r="D13" s="3">
        <v>44808</v>
      </c>
      <c r="E13" t="s">
        <v>49</v>
      </c>
    </row>
    <row r="14" spans="1:5" x14ac:dyDescent="0.8">
      <c r="B14" t="s">
        <v>51</v>
      </c>
      <c r="C14" t="s">
        <v>48</v>
      </c>
      <c r="D14" s="3">
        <v>44808</v>
      </c>
      <c r="E14" t="s">
        <v>49</v>
      </c>
    </row>
    <row r="15" spans="1:5" x14ac:dyDescent="0.8">
      <c r="B15" t="s">
        <v>168</v>
      </c>
      <c r="C15" t="s">
        <v>48</v>
      </c>
      <c r="D15" s="3">
        <v>44808</v>
      </c>
      <c r="E15" t="s">
        <v>49</v>
      </c>
    </row>
    <row r="16" spans="1:5" x14ac:dyDescent="0.8">
      <c r="B16" t="s">
        <v>50</v>
      </c>
      <c r="C16" t="s">
        <v>45</v>
      </c>
      <c r="D16" s="3">
        <v>44780</v>
      </c>
      <c r="E16" t="s">
        <v>46</v>
      </c>
    </row>
    <row r="17" spans="4:4" x14ac:dyDescent="0.8">
      <c r="D17" s="3"/>
    </row>
    <row r="18" spans="4:4" x14ac:dyDescent="0.8">
      <c r="D18" s="3"/>
    </row>
    <row r="19" spans="4:4" x14ac:dyDescent="0.8">
      <c r="D19" s="3"/>
    </row>
    <row r="20" spans="4:4" x14ac:dyDescent="0.8">
      <c r="D20" s="3"/>
    </row>
    <row r="21" spans="4:4" x14ac:dyDescent="0.8">
      <c r="D21" s="3"/>
    </row>
    <row r="22" spans="4:4" x14ac:dyDescent="0.8">
      <c r="D22" s="3"/>
    </row>
    <row r="23" spans="4:4" x14ac:dyDescent="0.8">
      <c r="D23" s="3"/>
    </row>
    <row r="24" spans="4:4" x14ac:dyDescent="0.8">
      <c r="D24" s="3"/>
    </row>
    <row r="25" spans="4:4" x14ac:dyDescent="0.8">
      <c r="D25" s="3"/>
    </row>
    <row r="26" spans="4:4" x14ac:dyDescent="0.8">
      <c r="D26" s="3"/>
    </row>
    <row r="27" spans="4:4" x14ac:dyDescent="0.8">
      <c r="D27" s="3"/>
    </row>
    <row r="28" spans="4:4" x14ac:dyDescent="0.8">
      <c r="D28" s="3"/>
    </row>
    <row r="29" spans="4:4" x14ac:dyDescent="0.8">
      <c r="D29" s="3"/>
    </row>
    <row r="30" spans="4:4" x14ac:dyDescent="0.8">
      <c r="D30" s="3"/>
    </row>
    <row r="31" spans="4:4" x14ac:dyDescent="0.8">
      <c r="D31" s="3"/>
    </row>
    <row r="32" spans="4:4" x14ac:dyDescent="0.8">
      <c r="D32" s="3"/>
    </row>
    <row r="33" spans="4:4" x14ac:dyDescent="0.8">
      <c r="D33" s="3"/>
    </row>
    <row r="34" spans="4:4" x14ac:dyDescent="0.8">
      <c r="D34" s="3"/>
    </row>
    <row r="35" spans="4:4" x14ac:dyDescent="0.8">
      <c r="D35" s="3"/>
    </row>
    <row r="36" spans="4:4" x14ac:dyDescent="0.8">
      <c r="D36" s="3"/>
    </row>
    <row r="37" spans="4:4" x14ac:dyDescent="0.8">
      <c r="D37" s="3"/>
    </row>
    <row r="38" spans="4:4" x14ac:dyDescent="0.8">
      <c r="D38" s="3"/>
    </row>
    <row r="39" spans="4:4" x14ac:dyDescent="0.8">
      <c r="D39" s="3"/>
    </row>
    <row r="40" spans="4:4" x14ac:dyDescent="0.8">
      <c r="D40" s="3"/>
    </row>
    <row r="41" spans="4:4" x14ac:dyDescent="0.8">
      <c r="D41" s="3"/>
    </row>
    <row r="43" spans="4:4" x14ac:dyDescent="0.8">
      <c r="D43" s="3"/>
    </row>
    <row r="44" spans="4:4" x14ac:dyDescent="0.8">
      <c r="D44" s="3"/>
    </row>
    <row r="46" spans="4:4" x14ac:dyDescent="0.8">
      <c r="D46" s="3"/>
    </row>
    <row r="47" spans="4:4" x14ac:dyDescent="0.8">
      <c r="D47" s="3"/>
    </row>
    <row r="48" spans="4:4" x14ac:dyDescent="0.8">
      <c r="D48" s="3"/>
    </row>
    <row r="49" spans="4:4" x14ac:dyDescent="0.8">
      <c r="D49" s="3"/>
    </row>
    <row r="50" spans="4:4" x14ac:dyDescent="0.8">
      <c r="D50" s="3"/>
    </row>
    <row r="52" spans="4:4" x14ac:dyDescent="0.8">
      <c r="D52" s="3"/>
    </row>
    <row r="53" spans="4:4" x14ac:dyDescent="0.8">
      <c r="D53" s="3"/>
    </row>
    <row r="54" spans="4:4" x14ac:dyDescent="0.8">
      <c r="D54" s="3"/>
    </row>
    <row r="55" spans="4:4" x14ac:dyDescent="0.8">
      <c r="D55" s="3"/>
    </row>
    <row r="56" spans="4:4" x14ac:dyDescent="0.8">
      <c r="D56" s="3"/>
    </row>
    <row r="57" spans="4:4" x14ac:dyDescent="0.8">
      <c r="D57" s="3"/>
    </row>
    <row r="58" spans="4:4" x14ac:dyDescent="0.8">
      <c r="D58" s="3"/>
    </row>
    <row r="59" spans="4:4" x14ac:dyDescent="0.8">
      <c r="D59" s="3"/>
    </row>
    <row r="60" spans="4:4" x14ac:dyDescent="0.8">
      <c r="D60" s="3"/>
    </row>
    <row r="61" spans="4:4" x14ac:dyDescent="0.8">
      <c r="D61" s="3"/>
    </row>
    <row r="62" spans="4:4" x14ac:dyDescent="0.8">
      <c r="D62" s="3"/>
    </row>
    <row r="63" spans="4:4" x14ac:dyDescent="0.8">
      <c r="D63" s="3"/>
    </row>
    <row r="64" spans="4:4" x14ac:dyDescent="0.8">
      <c r="D64" s="3"/>
    </row>
    <row r="65" spans="4:4" x14ac:dyDescent="0.8">
      <c r="D65" s="3"/>
    </row>
    <row r="66" spans="4:4" x14ac:dyDescent="0.8">
      <c r="D66" s="3"/>
    </row>
    <row r="67" spans="4:4" x14ac:dyDescent="0.8">
      <c r="D67" s="3"/>
    </row>
    <row r="68" spans="4:4" x14ac:dyDescent="0.8">
      <c r="D68" s="3"/>
    </row>
    <row r="69" spans="4:4" x14ac:dyDescent="0.8">
      <c r="D69" s="3"/>
    </row>
    <row r="70" spans="4:4" x14ac:dyDescent="0.8">
      <c r="D70" s="3"/>
    </row>
    <row r="72" spans="4:4" x14ac:dyDescent="0.8">
      <c r="D72" s="3"/>
    </row>
    <row r="73" spans="4:4" x14ac:dyDescent="0.8">
      <c r="D73" s="3"/>
    </row>
    <row r="74" spans="4:4" x14ac:dyDescent="0.8">
      <c r="D74" s="3"/>
    </row>
    <row r="75" spans="4:4" x14ac:dyDescent="0.8">
      <c r="D75" s="3"/>
    </row>
    <row r="76" spans="4:4" x14ac:dyDescent="0.8">
      <c r="D76" s="3"/>
    </row>
    <row r="77" spans="4:4" x14ac:dyDescent="0.8">
      <c r="D77" s="3"/>
    </row>
    <row r="78" spans="4:4" x14ac:dyDescent="0.8">
      <c r="D78" s="3"/>
    </row>
    <row r="79" spans="4:4" x14ac:dyDescent="0.8">
      <c r="D79" s="3"/>
    </row>
    <row r="80" spans="4:4" x14ac:dyDescent="0.8">
      <c r="D80" s="3"/>
    </row>
    <row r="81" spans="4:4" x14ac:dyDescent="0.8">
      <c r="D81" s="3"/>
    </row>
    <row r="82" spans="4:4" x14ac:dyDescent="0.8">
      <c r="D82" s="3"/>
    </row>
    <row r="83" spans="4:4" x14ac:dyDescent="0.8">
      <c r="D83" s="3"/>
    </row>
    <row r="84" spans="4:4" x14ac:dyDescent="0.8">
      <c r="D84" s="3"/>
    </row>
    <row r="85" spans="4:4" x14ac:dyDescent="0.8">
      <c r="D85" s="3"/>
    </row>
    <row r="86" spans="4:4" x14ac:dyDescent="0.8">
      <c r="D86" s="3"/>
    </row>
    <row r="87" spans="4:4" x14ac:dyDescent="0.8">
      <c r="D87" s="3"/>
    </row>
    <row r="88" spans="4:4" x14ac:dyDescent="0.8">
      <c r="D88" s="3"/>
    </row>
    <row r="89" spans="4:4" x14ac:dyDescent="0.8">
      <c r="D89" s="3"/>
    </row>
    <row r="90" spans="4:4" x14ac:dyDescent="0.8">
      <c r="D90" s="3"/>
    </row>
    <row r="91" spans="4:4" x14ac:dyDescent="0.8">
      <c r="D91" s="3"/>
    </row>
    <row r="92" spans="4:4" x14ac:dyDescent="0.8">
      <c r="D92" s="3"/>
    </row>
    <row r="93" spans="4:4" x14ac:dyDescent="0.8">
      <c r="D93" s="3"/>
    </row>
    <row r="94" spans="4:4" x14ac:dyDescent="0.8">
      <c r="D94" s="3"/>
    </row>
    <row r="95" spans="4:4" x14ac:dyDescent="0.8">
      <c r="D95" s="3"/>
    </row>
    <row r="96" spans="4:4" x14ac:dyDescent="0.8">
      <c r="D96" s="3"/>
    </row>
    <row r="97" spans="4:4" x14ac:dyDescent="0.8">
      <c r="D97" s="3"/>
    </row>
    <row r="98" spans="4:4" x14ac:dyDescent="0.8">
      <c r="D98" s="3"/>
    </row>
    <row r="100" spans="4:4" x14ac:dyDescent="0.8">
      <c r="D100" s="3"/>
    </row>
    <row r="101" spans="4:4" x14ac:dyDescent="0.8">
      <c r="D101" s="3"/>
    </row>
    <row r="102" spans="4:4" x14ac:dyDescent="0.8">
      <c r="D102" s="3"/>
    </row>
    <row r="103" spans="4:4" x14ac:dyDescent="0.8">
      <c r="D103" s="3"/>
    </row>
  </sheetData>
  <mergeCells count="1">
    <mergeCell ref="A2:B2"/>
  </mergeCells>
  <phoneticPr fontId="1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o_ahead">
                <anchor moveWithCells="1" sizeWithCells="1">
                  <from>
                    <xdr:col>2</xdr:col>
                    <xdr:colOff>2713567</xdr:colOff>
                    <xdr:row>2</xdr:row>
                    <xdr:rowOff>97367</xdr:rowOff>
                  </from>
                  <to>
                    <xdr:col>2</xdr:col>
                    <xdr:colOff>3437467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et_database_path">
                <anchor moveWithCells="1" sizeWithCells="1">
                  <from>
                    <xdr:col>2</xdr:col>
                    <xdr:colOff>21167</xdr:colOff>
                    <xdr:row>2</xdr:row>
                    <xdr:rowOff>67733</xdr:rowOff>
                  </from>
                  <to>
                    <xdr:col>2</xdr:col>
                    <xdr:colOff>783167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create_mdb_event_xref">
                <anchor moveWithCells="1" sizeWithCells="1">
                  <from>
                    <xdr:col>2</xdr:col>
                    <xdr:colOff>1164167</xdr:colOff>
                    <xdr:row>2</xdr:row>
                    <xdr:rowOff>84667</xdr:rowOff>
                  </from>
                  <to>
                    <xdr:col>2</xdr:col>
                    <xdr:colOff>2209800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DEA637-353D-4063-8706-7253A28493B2}">
  <sheetPr codeName="Sheet1"/>
  <dimension ref="A1:H132"/>
  <sheetViews>
    <sheetView workbookViewId="0">
      <pane ySplit="2" topLeftCell="A94" activePane="bottomLeft" state="frozen"/>
      <selection pane="bottomLeft" activeCell="B132" sqref="B132"/>
    </sheetView>
  </sheetViews>
  <sheetFormatPr defaultRowHeight="18" x14ac:dyDescent="0.8"/>
  <cols>
    <col min="1" max="1" width="6.5" customWidth="1"/>
    <col min="2" max="2" width="54.109375" customWidth="1"/>
    <col min="3" max="3" width="6.109375" customWidth="1"/>
    <col min="4" max="4" width="5.88671875" customWidth="1"/>
    <col min="5" max="5" width="5.21875" customWidth="1"/>
    <col min="6" max="6" width="5.38671875" customWidth="1"/>
    <col min="7" max="7" width="8.38671875" customWidth="1"/>
    <col min="8" max="8" width="6.83203125" customWidth="1"/>
  </cols>
  <sheetData>
    <row r="1" spans="1:8" x14ac:dyDescent="0.8">
      <c r="A1" t="s">
        <v>52</v>
      </c>
      <c r="C1" t="s">
        <v>18</v>
      </c>
      <c r="E1">
        <v>6</v>
      </c>
    </row>
    <row r="2" spans="1:8" x14ac:dyDescent="0.8">
      <c r="A2" s="4" t="s">
        <v>14</v>
      </c>
      <c r="B2" t="s">
        <v>13</v>
      </c>
      <c r="C2" s="4" t="s">
        <v>12</v>
      </c>
      <c r="D2" s="4" t="s">
        <v>15</v>
      </c>
      <c r="E2" s="4" t="s">
        <v>37</v>
      </c>
      <c r="F2" s="4" t="s">
        <v>16</v>
      </c>
      <c r="G2" s="4" t="s">
        <v>17</v>
      </c>
      <c r="H2" s="4" t="s">
        <v>22</v>
      </c>
    </row>
    <row r="3" spans="1:8" x14ac:dyDescent="0.8">
      <c r="A3">
        <v>1</v>
      </c>
      <c r="B3" t="s">
        <v>53</v>
      </c>
      <c r="C3">
        <v>2</v>
      </c>
      <c r="F3">
        <v>1</v>
      </c>
      <c r="G3">
        <f t="shared" ref="G3:G34" si="0">_xlfn.CEILING.MATH(C3/$E$1,1)</f>
        <v>1</v>
      </c>
      <c r="H3">
        <f t="shared" ref="H3:H6" si="1">IF(D3="",F3,IF(D3=D2,"⇧",F3))</f>
        <v>1</v>
      </c>
    </row>
    <row r="4" spans="1:8" x14ac:dyDescent="0.8">
      <c r="A4">
        <v>2</v>
      </c>
      <c r="B4" t="s">
        <v>54</v>
      </c>
      <c r="C4">
        <v>9</v>
      </c>
      <c r="F4">
        <v>2</v>
      </c>
      <c r="G4">
        <f t="shared" si="0"/>
        <v>2</v>
      </c>
      <c r="H4">
        <f t="shared" si="1"/>
        <v>2</v>
      </c>
    </row>
    <row r="5" spans="1:8" x14ac:dyDescent="0.8">
      <c r="A5">
        <v>3</v>
      </c>
      <c r="B5" t="s">
        <v>55</v>
      </c>
      <c r="C5">
        <v>4</v>
      </c>
      <c r="F5">
        <v>1</v>
      </c>
      <c r="G5">
        <f t="shared" si="0"/>
        <v>1</v>
      </c>
      <c r="H5">
        <f t="shared" si="1"/>
        <v>1</v>
      </c>
    </row>
    <row r="6" spans="1:8" x14ac:dyDescent="0.8">
      <c r="A6">
        <v>4</v>
      </c>
      <c r="B6" t="s">
        <v>24</v>
      </c>
      <c r="C6">
        <v>1</v>
      </c>
      <c r="F6">
        <v>1</v>
      </c>
      <c r="G6">
        <f t="shared" si="0"/>
        <v>1</v>
      </c>
      <c r="H6">
        <f t="shared" si="1"/>
        <v>1</v>
      </c>
    </row>
    <row r="7" spans="1:8" x14ac:dyDescent="0.8">
      <c r="A7">
        <v>5</v>
      </c>
      <c r="B7" t="s">
        <v>56</v>
      </c>
      <c r="C7">
        <v>2</v>
      </c>
      <c r="F7">
        <v>1</v>
      </c>
      <c r="G7">
        <f t="shared" si="0"/>
        <v>1</v>
      </c>
      <c r="H7">
        <f>IF(D7="",F7,IF(D7=D6,"⇧",F7))</f>
        <v>1</v>
      </c>
    </row>
    <row r="8" spans="1:8" x14ac:dyDescent="0.8">
      <c r="A8">
        <v>6</v>
      </c>
      <c r="B8" t="s">
        <v>57</v>
      </c>
      <c r="C8">
        <v>1</v>
      </c>
      <c r="F8">
        <v>1</v>
      </c>
      <c r="G8">
        <f t="shared" si="0"/>
        <v>1</v>
      </c>
      <c r="H8">
        <f t="shared" ref="H8:H71" si="2">IF(D8="",F8,IF(D8=D7,"⇧",F8))</f>
        <v>1</v>
      </c>
    </row>
    <row r="9" spans="1:8" x14ac:dyDescent="0.8">
      <c r="A9">
        <v>7</v>
      </c>
      <c r="B9" t="s">
        <v>58</v>
      </c>
      <c r="C9">
        <v>8</v>
      </c>
      <c r="F9">
        <v>2</v>
      </c>
      <c r="G9">
        <f t="shared" si="0"/>
        <v>2</v>
      </c>
      <c r="H9">
        <f t="shared" si="2"/>
        <v>2</v>
      </c>
    </row>
    <row r="10" spans="1:8" x14ac:dyDescent="0.8">
      <c r="A10">
        <v>8</v>
      </c>
      <c r="B10" t="s">
        <v>59</v>
      </c>
      <c r="C10">
        <v>2</v>
      </c>
      <c r="F10">
        <v>1</v>
      </c>
      <c r="G10">
        <f t="shared" si="0"/>
        <v>1</v>
      </c>
      <c r="H10">
        <f t="shared" si="2"/>
        <v>1</v>
      </c>
    </row>
    <row r="11" spans="1:8" x14ac:dyDescent="0.8">
      <c r="A11">
        <v>9</v>
      </c>
      <c r="B11" t="s">
        <v>25</v>
      </c>
      <c r="C11">
        <v>1</v>
      </c>
      <c r="D11">
        <v>7</v>
      </c>
      <c r="E11">
        <v>1</v>
      </c>
      <c r="F11">
        <v>1</v>
      </c>
      <c r="G11">
        <f t="shared" si="0"/>
        <v>1</v>
      </c>
      <c r="H11">
        <f t="shared" si="2"/>
        <v>1</v>
      </c>
    </row>
    <row r="12" spans="1:8" x14ac:dyDescent="0.8">
      <c r="A12">
        <v>10</v>
      </c>
      <c r="B12" t="s">
        <v>26</v>
      </c>
      <c r="C12">
        <v>2</v>
      </c>
      <c r="D12">
        <v>7</v>
      </c>
      <c r="E12">
        <v>3</v>
      </c>
      <c r="F12">
        <v>1</v>
      </c>
      <c r="G12">
        <f t="shared" si="0"/>
        <v>1</v>
      </c>
      <c r="H12" t="str">
        <f t="shared" si="2"/>
        <v>⇧</v>
      </c>
    </row>
    <row r="13" spans="1:8" x14ac:dyDescent="0.8">
      <c r="A13">
        <v>11</v>
      </c>
      <c r="B13" t="s">
        <v>60</v>
      </c>
      <c r="C13">
        <v>8</v>
      </c>
      <c r="F13">
        <v>2</v>
      </c>
      <c r="G13">
        <f t="shared" si="0"/>
        <v>2</v>
      </c>
      <c r="H13">
        <f t="shared" si="2"/>
        <v>2</v>
      </c>
    </row>
    <row r="14" spans="1:8" x14ac:dyDescent="0.8">
      <c r="A14">
        <v>12</v>
      </c>
      <c r="B14" t="s">
        <v>61</v>
      </c>
      <c r="C14">
        <v>4</v>
      </c>
      <c r="F14">
        <v>1</v>
      </c>
      <c r="G14">
        <f t="shared" si="0"/>
        <v>1</v>
      </c>
      <c r="H14">
        <f t="shared" si="2"/>
        <v>1</v>
      </c>
    </row>
    <row r="15" spans="1:8" x14ac:dyDescent="0.8">
      <c r="A15">
        <v>13</v>
      </c>
      <c r="B15" t="s">
        <v>62</v>
      </c>
      <c r="C15">
        <v>17</v>
      </c>
      <c r="F15">
        <v>3</v>
      </c>
      <c r="G15">
        <f t="shared" si="0"/>
        <v>3</v>
      </c>
      <c r="H15">
        <f t="shared" si="2"/>
        <v>3</v>
      </c>
    </row>
    <row r="16" spans="1:8" x14ac:dyDescent="0.8">
      <c r="A16">
        <v>14</v>
      </c>
      <c r="B16" t="s">
        <v>63</v>
      </c>
      <c r="C16">
        <v>6</v>
      </c>
      <c r="F16">
        <v>1</v>
      </c>
      <c r="G16">
        <f t="shared" si="0"/>
        <v>1</v>
      </c>
      <c r="H16">
        <f t="shared" si="2"/>
        <v>1</v>
      </c>
    </row>
    <row r="17" spans="1:8" x14ac:dyDescent="0.8">
      <c r="A17">
        <v>15</v>
      </c>
      <c r="B17" t="s">
        <v>64</v>
      </c>
      <c r="C17">
        <v>1</v>
      </c>
      <c r="D17">
        <v>9</v>
      </c>
      <c r="E17">
        <v>2</v>
      </c>
      <c r="F17">
        <v>1</v>
      </c>
      <c r="G17">
        <f t="shared" si="0"/>
        <v>1</v>
      </c>
      <c r="H17">
        <f t="shared" si="2"/>
        <v>1</v>
      </c>
    </row>
    <row r="18" spans="1:8" x14ac:dyDescent="0.8">
      <c r="A18">
        <v>16</v>
      </c>
      <c r="B18" t="s">
        <v>65</v>
      </c>
      <c r="C18">
        <v>1</v>
      </c>
      <c r="D18">
        <v>9</v>
      </c>
      <c r="E18">
        <v>4</v>
      </c>
      <c r="F18">
        <v>1</v>
      </c>
      <c r="G18">
        <f t="shared" si="0"/>
        <v>1</v>
      </c>
      <c r="H18" t="str">
        <f t="shared" si="2"/>
        <v>⇧</v>
      </c>
    </row>
    <row r="19" spans="1:8" x14ac:dyDescent="0.8">
      <c r="A19">
        <v>17</v>
      </c>
      <c r="B19" t="s">
        <v>66</v>
      </c>
      <c r="C19">
        <v>15</v>
      </c>
      <c r="F19">
        <v>3</v>
      </c>
      <c r="G19">
        <f t="shared" si="0"/>
        <v>3</v>
      </c>
      <c r="H19">
        <f t="shared" si="2"/>
        <v>3</v>
      </c>
    </row>
    <row r="20" spans="1:8" x14ac:dyDescent="0.8">
      <c r="A20">
        <v>18</v>
      </c>
      <c r="B20" t="s">
        <v>67</v>
      </c>
      <c r="C20">
        <v>13</v>
      </c>
      <c r="F20">
        <v>3</v>
      </c>
      <c r="G20">
        <f t="shared" si="0"/>
        <v>3</v>
      </c>
      <c r="H20">
        <f t="shared" si="2"/>
        <v>3</v>
      </c>
    </row>
    <row r="21" spans="1:8" x14ac:dyDescent="0.8">
      <c r="A21">
        <v>19</v>
      </c>
      <c r="B21" t="s">
        <v>68</v>
      </c>
      <c r="C21">
        <v>10</v>
      </c>
      <c r="F21">
        <v>2</v>
      </c>
      <c r="G21">
        <f t="shared" si="0"/>
        <v>2</v>
      </c>
      <c r="H21">
        <f t="shared" si="2"/>
        <v>2</v>
      </c>
    </row>
    <row r="22" spans="1:8" x14ac:dyDescent="0.8">
      <c r="A22">
        <v>20</v>
      </c>
      <c r="B22" t="s">
        <v>69</v>
      </c>
      <c r="C22">
        <v>19</v>
      </c>
      <c r="F22">
        <v>4</v>
      </c>
      <c r="G22">
        <f t="shared" si="0"/>
        <v>4</v>
      </c>
      <c r="H22">
        <f t="shared" si="2"/>
        <v>4</v>
      </c>
    </row>
    <row r="23" spans="1:8" x14ac:dyDescent="0.8">
      <c r="A23">
        <v>21</v>
      </c>
      <c r="B23" t="s">
        <v>28</v>
      </c>
      <c r="C23">
        <v>1</v>
      </c>
      <c r="D23">
        <v>10</v>
      </c>
      <c r="E23">
        <v>1</v>
      </c>
      <c r="F23">
        <v>1</v>
      </c>
      <c r="G23">
        <f t="shared" si="0"/>
        <v>1</v>
      </c>
      <c r="H23">
        <f t="shared" si="2"/>
        <v>1</v>
      </c>
    </row>
    <row r="24" spans="1:8" x14ac:dyDescent="0.8">
      <c r="A24">
        <v>22</v>
      </c>
      <c r="B24" t="s">
        <v>29</v>
      </c>
      <c r="C24">
        <v>1</v>
      </c>
      <c r="D24">
        <v>10</v>
      </c>
      <c r="E24">
        <v>3</v>
      </c>
      <c r="F24">
        <v>1</v>
      </c>
      <c r="G24">
        <f t="shared" si="0"/>
        <v>1</v>
      </c>
      <c r="H24" t="str">
        <f t="shared" si="2"/>
        <v>⇧</v>
      </c>
    </row>
    <row r="25" spans="1:8" x14ac:dyDescent="0.8">
      <c r="A25">
        <v>23</v>
      </c>
      <c r="B25" t="s">
        <v>30</v>
      </c>
      <c r="C25">
        <v>1</v>
      </c>
      <c r="D25">
        <v>10</v>
      </c>
      <c r="E25">
        <v>4</v>
      </c>
      <c r="F25">
        <v>1</v>
      </c>
      <c r="G25">
        <f t="shared" si="0"/>
        <v>1</v>
      </c>
      <c r="H25" t="str">
        <f t="shared" si="2"/>
        <v>⇧</v>
      </c>
    </row>
    <row r="26" spans="1:8" x14ac:dyDescent="0.8">
      <c r="A26">
        <v>24</v>
      </c>
      <c r="B26" t="s">
        <v>70</v>
      </c>
      <c r="C26">
        <v>1</v>
      </c>
      <c r="D26">
        <v>10</v>
      </c>
      <c r="E26">
        <v>6</v>
      </c>
      <c r="F26">
        <v>1</v>
      </c>
      <c r="G26">
        <f t="shared" si="0"/>
        <v>1</v>
      </c>
      <c r="H26" t="str">
        <f t="shared" si="2"/>
        <v>⇧</v>
      </c>
    </row>
    <row r="27" spans="1:8" x14ac:dyDescent="0.8">
      <c r="A27">
        <v>25</v>
      </c>
      <c r="B27" t="s">
        <v>71</v>
      </c>
      <c r="C27">
        <v>1</v>
      </c>
      <c r="D27">
        <v>11</v>
      </c>
      <c r="E27">
        <v>1</v>
      </c>
      <c r="F27">
        <v>1</v>
      </c>
      <c r="G27">
        <f t="shared" si="0"/>
        <v>1</v>
      </c>
      <c r="H27">
        <f t="shared" si="2"/>
        <v>1</v>
      </c>
    </row>
    <row r="28" spans="1:8" x14ac:dyDescent="0.8">
      <c r="A28">
        <v>26</v>
      </c>
      <c r="B28" t="s">
        <v>72</v>
      </c>
      <c r="C28">
        <v>4</v>
      </c>
      <c r="D28">
        <v>11</v>
      </c>
      <c r="E28">
        <v>3</v>
      </c>
      <c r="F28">
        <v>1</v>
      </c>
      <c r="G28">
        <f t="shared" si="0"/>
        <v>1</v>
      </c>
      <c r="H28" t="str">
        <f t="shared" si="2"/>
        <v>⇧</v>
      </c>
    </row>
    <row r="29" spans="1:8" x14ac:dyDescent="0.8">
      <c r="A29">
        <v>27</v>
      </c>
      <c r="B29" t="s">
        <v>73</v>
      </c>
      <c r="C29">
        <v>6</v>
      </c>
      <c r="F29">
        <v>1</v>
      </c>
      <c r="G29">
        <f t="shared" si="0"/>
        <v>1</v>
      </c>
      <c r="H29">
        <f t="shared" si="2"/>
        <v>1</v>
      </c>
    </row>
    <row r="30" spans="1:8" x14ac:dyDescent="0.8">
      <c r="A30">
        <v>28</v>
      </c>
      <c r="B30" t="s">
        <v>74</v>
      </c>
      <c r="C30">
        <v>1</v>
      </c>
      <c r="F30">
        <v>1</v>
      </c>
      <c r="G30">
        <f t="shared" si="0"/>
        <v>1</v>
      </c>
      <c r="H30">
        <f t="shared" si="2"/>
        <v>1</v>
      </c>
    </row>
    <row r="31" spans="1:8" x14ac:dyDescent="0.8">
      <c r="A31">
        <v>29</v>
      </c>
      <c r="B31" t="s">
        <v>75</v>
      </c>
      <c r="C31">
        <v>2</v>
      </c>
      <c r="D31">
        <v>13</v>
      </c>
      <c r="E31">
        <v>1</v>
      </c>
      <c r="F31">
        <v>1</v>
      </c>
      <c r="G31">
        <f t="shared" si="0"/>
        <v>1</v>
      </c>
      <c r="H31">
        <f t="shared" si="2"/>
        <v>1</v>
      </c>
    </row>
    <row r="32" spans="1:8" x14ac:dyDescent="0.8">
      <c r="A32">
        <v>30</v>
      </c>
      <c r="B32" t="s">
        <v>76</v>
      </c>
      <c r="C32">
        <v>4</v>
      </c>
      <c r="D32">
        <v>13</v>
      </c>
      <c r="E32">
        <v>3</v>
      </c>
      <c r="F32">
        <v>1</v>
      </c>
      <c r="G32">
        <f t="shared" si="0"/>
        <v>1</v>
      </c>
      <c r="H32" t="str">
        <f t="shared" si="2"/>
        <v>⇧</v>
      </c>
    </row>
    <row r="33" spans="1:8" x14ac:dyDescent="0.8">
      <c r="A33">
        <v>31</v>
      </c>
      <c r="B33" t="s">
        <v>77</v>
      </c>
      <c r="C33">
        <v>2</v>
      </c>
      <c r="F33">
        <v>1</v>
      </c>
      <c r="G33">
        <f t="shared" si="0"/>
        <v>1</v>
      </c>
      <c r="H33">
        <f t="shared" si="2"/>
        <v>1</v>
      </c>
    </row>
    <row r="34" spans="1:8" x14ac:dyDescent="0.8">
      <c r="A34">
        <v>32</v>
      </c>
      <c r="B34" t="s">
        <v>78</v>
      </c>
      <c r="C34">
        <v>5</v>
      </c>
      <c r="D34">
        <v>15</v>
      </c>
      <c r="E34">
        <v>1</v>
      </c>
      <c r="F34">
        <v>1</v>
      </c>
      <c r="G34">
        <f t="shared" si="0"/>
        <v>1</v>
      </c>
      <c r="H34">
        <f t="shared" si="2"/>
        <v>1</v>
      </c>
    </row>
    <row r="35" spans="1:8" x14ac:dyDescent="0.8">
      <c r="A35">
        <v>33</v>
      </c>
      <c r="B35" t="s">
        <v>79</v>
      </c>
      <c r="C35">
        <v>1</v>
      </c>
      <c r="D35">
        <v>15</v>
      </c>
      <c r="E35">
        <v>6</v>
      </c>
      <c r="F35">
        <v>1</v>
      </c>
      <c r="G35">
        <f t="shared" ref="G35:G66" si="3">_xlfn.CEILING.MATH(C35/$E$1,1)</f>
        <v>1</v>
      </c>
      <c r="H35" t="str">
        <f t="shared" si="2"/>
        <v>⇧</v>
      </c>
    </row>
    <row r="36" spans="1:8" x14ac:dyDescent="0.8">
      <c r="A36">
        <v>34</v>
      </c>
      <c r="B36" t="s">
        <v>80</v>
      </c>
      <c r="C36">
        <v>4</v>
      </c>
      <c r="F36">
        <v>1</v>
      </c>
      <c r="G36">
        <f t="shared" si="3"/>
        <v>1</v>
      </c>
      <c r="H36">
        <f t="shared" si="2"/>
        <v>1</v>
      </c>
    </row>
    <row r="37" spans="1:8" x14ac:dyDescent="0.8">
      <c r="A37">
        <v>35</v>
      </c>
      <c r="B37" t="s">
        <v>81</v>
      </c>
      <c r="C37">
        <v>4</v>
      </c>
      <c r="D37">
        <v>17</v>
      </c>
      <c r="E37">
        <v>1</v>
      </c>
      <c r="F37">
        <v>1</v>
      </c>
      <c r="G37">
        <f t="shared" si="3"/>
        <v>1</v>
      </c>
      <c r="H37">
        <f t="shared" si="2"/>
        <v>1</v>
      </c>
    </row>
    <row r="38" spans="1:8" x14ac:dyDescent="0.8">
      <c r="A38">
        <v>36</v>
      </c>
      <c r="B38" t="s">
        <v>82</v>
      </c>
      <c r="C38">
        <v>2</v>
      </c>
      <c r="D38">
        <v>17</v>
      </c>
      <c r="E38">
        <v>5</v>
      </c>
      <c r="F38">
        <v>1</v>
      </c>
      <c r="G38">
        <f t="shared" si="3"/>
        <v>1</v>
      </c>
      <c r="H38" t="str">
        <f t="shared" si="2"/>
        <v>⇧</v>
      </c>
    </row>
    <row r="39" spans="1:8" x14ac:dyDescent="0.8">
      <c r="A39">
        <v>37</v>
      </c>
      <c r="B39" t="s">
        <v>83</v>
      </c>
      <c r="C39">
        <v>2</v>
      </c>
      <c r="F39">
        <v>1</v>
      </c>
      <c r="G39">
        <f t="shared" si="3"/>
        <v>1</v>
      </c>
      <c r="H39">
        <f t="shared" si="2"/>
        <v>1</v>
      </c>
    </row>
    <row r="40" spans="1:8" x14ac:dyDescent="0.8">
      <c r="A40">
        <v>38</v>
      </c>
      <c r="B40" t="s">
        <v>84</v>
      </c>
      <c r="C40">
        <v>5</v>
      </c>
      <c r="F40">
        <v>1</v>
      </c>
      <c r="G40">
        <f t="shared" si="3"/>
        <v>1</v>
      </c>
      <c r="H40">
        <f t="shared" si="2"/>
        <v>1</v>
      </c>
    </row>
    <row r="41" spans="1:8" x14ac:dyDescent="0.8">
      <c r="A41">
        <v>39</v>
      </c>
      <c r="B41" t="s">
        <v>85</v>
      </c>
      <c r="C41">
        <v>5</v>
      </c>
      <c r="F41">
        <v>1</v>
      </c>
      <c r="G41">
        <f t="shared" si="3"/>
        <v>1</v>
      </c>
      <c r="H41">
        <f t="shared" si="2"/>
        <v>1</v>
      </c>
    </row>
    <row r="42" spans="1:8" x14ac:dyDescent="0.8">
      <c r="A42">
        <v>40</v>
      </c>
      <c r="B42" t="s">
        <v>86</v>
      </c>
      <c r="C42">
        <v>2</v>
      </c>
      <c r="D42">
        <v>21</v>
      </c>
      <c r="E42">
        <v>1</v>
      </c>
      <c r="F42">
        <v>1</v>
      </c>
      <c r="G42">
        <f t="shared" si="3"/>
        <v>1</v>
      </c>
      <c r="H42">
        <f t="shared" si="2"/>
        <v>1</v>
      </c>
    </row>
    <row r="43" spans="1:8" x14ac:dyDescent="0.8">
      <c r="A43">
        <v>41</v>
      </c>
      <c r="B43" t="s">
        <v>87</v>
      </c>
      <c r="C43">
        <v>3</v>
      </c>
      <c r="D43">
        <v>21</v>
      </c>
      <c r="E43">
        <v>3</v>
      </c>
      <c r="F43">
        <v>1</v>
      </c>
      <c r="G43">
        <f t="shared" si="3"/>
        <v>1</v>
      </c>
      <c r="H43" t="str">
        <f t="shared" si="2"/>
        <v>⇧</v>
      </c>
    </row>
    <row r="44" spans="1:8" x14ac:dyDescent="0.8">
      <c r="A44">
        <v>42</v>
      </c>
      <c r="B44" t="s">
        <v>27</v>
      </c>
      <c r="C44">
        <v>2</v>
      </c>
      <c r="D44">
        <v>22</v>
      </c>
      <c r="E44">
        <v>1</v>
      </c>
      <c r="F44">
        <v>1</v>
      </c>
      <c r="G44">
        <f t="shared" si="3"/>
        <v>1</v>
      </c>
      <c r="H44">
        <f t="shared" si="2"/>
        <v>1</v>
      </c>
    </row>
    <row r="45" spans="1:8" x14ac:dyDescent="0.8">
      <c r="A45">
        <v>43</v>
      </c>
      <c r="B45" t="s">
        <v>88</v>
      </c>
      <c r="C45">
        <v>1</v>
      </c>
      <c r="D45">
        <v>22</v>
      </c>
      <c r="E45">
        <v>3</v>
      </c>
      <c r="F45">
        <v>1</v>
      </c>
      <c r="G45">
        <f t="shared" si="3"/>
        <v>1</v>
      </c>
      <c r="H45" t="str">
        <f t="shared" si="2"/>
        <v>⇧</v>
      </c>
    </row>
    <row r="46" spans="1:8" x14ac:dyDescent="0.8">
      <c r="A46">
        <v>44</v>
      </c>
      <c r="B46" t="s">
        <v>38</v>
      </c>
      <c r="C46">
        <v>1</v>
      </c>
      <c r="D46">
        <v>22</v>
      </c>
      <c r="E46">
        <v>5</v>
      </c>
      <c r="F46">
        <v>1</v>
      </c>
      <c r="G46">
        <f t="shared" si="3"/>
        <v>1</v>
      </c>
      <c r="H46" t="str">
        <f t="shared" si="2"/>
        <v>⇧</v>
      </c>
    </row>
    <row r="47" spans="1:8" x14ac:dyDescent="0.8">
      <c r="A47">
        <v>45</v>
      </c>
      <c r="B47" t="s">
        <v>89</v>
      </c>
      <c r="C47">
        <v>4</v>
      </c>
      <c r="F47">
        <v>1</v>
      </c>
      <c r="G47">
        <f t="shared" si="3"/>
        <v>1</v>
      </c>
      <c r="H47">
        <f t="shared" si="2"/>
        <v>1</v>
      </c>
    </row>
    <row r="48" spans="1:8" x14ac:dyDescent="0.8">
      <c r="A48">
        <v>46</v>
      </c>
      <c r="B48" t="s">
        <v>90</v>
      </c>
      <c r="C48">
        <v>5</v>
      </c>
      <c r="F48">
        <v>1</v>
      </c>
      <c r="G48">
        <f t="shared" si="3"/>
        <v>1</v>
      </c>
      <c r="H48">
        <f t="shared" si="2"/>
        <v>1</v>
      </c>
    </row>
    <row r="49" spans="1:8" x14ac:dyDescent="0.8">
      <c r="A49">
        <v>47</v>
      </c>
      <c r="B49" t="s">
        <v>91</v>
      </c>
      <c r="C49">
        <v>8</v>
      </c>
      <c r="F49">
        <v>2</v>
      </c>
      <c r="G49">
        <f t="shared" si="3"/>
        <v>2</v>
      </c>
      <c r="H49">
        <f t="shared" si="2"/>
        <v>2</v>
      </c>
    </row>
    <row r="50" spans="1:8" x14ac:dyDescent="0.8">
      <c r="A50">
        <v>48</v>
      </c>
      <c r="B50" t="s">
        <v>92</v>
      </c>
      <c r="C50">
        <v>1</v>
      </c>
      <c r="D50">
        <v>25</v>
      </c>
      <c r="E50">
        <v>2</v>
      </c>
      <c r="F50">
        <v>1</v>
      </c>
      <c r="G50">
        <f t="shared" si="3"/>
        <v>1</v>
      </c>
      <c r="H50">
        <f t="shared" si="2"/>
        <v>1</v>
      </c>
    </row>
    <row r="51" spans="1:8" x14ac:dyDescent="0.8">
      <c r="A51">
        <v>49</v>
      </c>
      <c r="B51" t="s">
        <v>93</v>
      </c>
      <c r="C51">
        <v>1</v>
      </c>
      <c r="D51">
        <v>25</v>
      </c>
      <c r="E51">
        <v>4</v>
      </c>
      <c r="F51">
        <v>1</v>
      </c>
      <c r="G51">
        <f t="shared" si="3"/>
        <v>1</v>
      </c>
      <c r="H51" t="str">
        <f t="shared" si="2"/>
        <v>⇧</v>
      </c>
    </row>
    <row r="52" spans="1:8" x14ac:dyDescent="0.8">
      <c r="A52">
        <v>50</v>
      </c>
      <c r="B52" t="s">
        <v>94</v>
      </c>
      <c r="C52">
        <v>9</v>
      </c>
      <c r="F52">
        <v>2</v>
      </c>
      <c r="G52">
        <f t="shared" si="3"/>
        <v>2</v>
      </c>
      <c r="H52">
        <f t="shared" si="2"/>
        <v>2</v>
      </c>
    </row>
    <row r="53" spans="1:8" x14ac:dyDescent="0.8">
      <c r="A53">
        <v>51</v>
      </c>
      <c r="B53" t="s">
        <v>95</v>
      </c>
      <c r="C53">
        <v>4</v>
      </c>
      <c r="F53">
        <v>1</v>
      </c>
      <c r="G53">
        <f t="shared" si="3"/>
        <v>1</v>
      </c>
      <c r="H53">
        <f t="shared" si="2"/>
        <v>1</v>
      </c>
    </row>
    <row r="54" spans="1:8" x14ac:dyDescent="0.8">
      <c r="A54">
        <v>52</v>
      </c>
      <c r="B54" t="s">
        <v>96</v>
      </c>
      <c r="C54">
        <v>7</v>
      </c>
      <c r="F54">
        <v>2</v>
      </c>
      <c r="G54">
        <f t="shared" si="3"/>
        <v>2</v>
      </c>
      <c r="H54">
        <f t="shared" si="2"/>
        <v>2</v>
      </c>
    </row>
    <row r="55" spans="1:8" x14ac:dyDescent="0.8">
      <c r="A55">
        <v>53</v>
      </c>
      <c r="B55" t="s">
        <v>97</v>
      </c>
      <c r="C55">
        <v>6</v>
      </c>
      <c r="F55">
        <v>1</v>
      </c>
      <c r="G55">
        <f t="shared" si="3"/>
        <v>1</v>
      </c>
      <c r="H55">
        <f t="shared" si="2"/>
        <v>1</v>
      </c>
    </row>
    <row r="56" spans="1:8" x14ac:dyDescent="0.8">
      <c r="A56">
        <v>54</v>
      </c>
      <c r="B56" t="s">
        <v>98</v>
      </c>
      <c r="C56">
        <v>1</v>
      </c>
      <c r="D56">
        <v>27</v>
      </c>
      <c r="F56">
        <v>1</v>
      </c>
      <c r="G56">
        <f t="shared" si="3"/>
        <v>1</v>
      </c>
      <c r="H56">
        <f t="shared" si="2"/>
        <v>1</v>
      </c>
    </row>
    <row r="57" spans="1:8" x14ac:dyDescent="0.8">
      <c r="A57">
        <v>55</v>
      </c>
      <c r="B57" t="s">
        <v>99</v>
      </c>
      <c r="C57">
        <v>1</v>
      </c>
      <c r="D57">
        <v>27</v>
      </c>
      <c r="E57">
        <v>2</v>
      </c>
      <c r="F57">
        <v>1</v>
      </c>
      <c r="G57">
        <f t="shared" si="3"/>
        <v>1</v>
      </c>
      <c r="H57" t="str">
        <f t="shared" si="2"/>
        <v>⇧</v>
      </c>
    </row>
    <row r="58" spans="1:8" x14ac:dyDescent="0.8">
      <c r="A58">
        <v>56</v>
      </c>
      <c r="B58" t="s">
        <v>100</v>
      </c>
      <c r="C58">
        <v>1</v>
      </c>
      <c r="D58">
        <v>27</v>
      </c>
      <c r="E58">
        <v>4</v>
      </c>
      <c r="F58">
        <v>1</v>
      </c>
      <c r="G58">
        <f t="shared" si="3"/>
        <v>1</v>
      </c>
      <c r="H58" t="str">
        <f t="shared" si="2"/>
        <v>⇧</v>
      </c>
    </row>
    <row r="59" spans="1:8" x14ac:dyDescent="0.8">
      <c r="A59">
        <v>57</v>
      </c>
      <c r="B59" t="s">
        <v>155</v>
      </c>
      <c r="C59">
        <v>3</v>
      </c>
      <c r="F59">
        <v>1</v>
      </c>
      <c r="G59">
        <f t="shared" si="3"/>
        <v>1</v>
      </c>
      <c r="H59">
        <f t="shared" si="2"/>
        <v>1</v>
      </c>
    </row>
    <row r="60" spans="1:8" x14ac:dyDescent="0.8">
      <c r="A60">
        <v>58</v>
      </c>
      <c r="B60" t="s">
        <v>156</v>
      </c>
      <c r="C60">
        <v>4</v>
      </c>
      <c r="D60">
        <v>29</v>
      </c>
      <c r="E60">
        <v>1</v>
      </c>
      <c r="F60">
        <v>1</v>
      </c>
      <c r="G60">
        <f t="shared" si="3"/>
        <v>1</v>
      </c>
      <c r="H60">
        <f t="shared" si="2"/>
        <v>1</v>
      </c>
    </row>
    <row r="61" spans="1:8" x14ac:dyDescent="0.8">
      <c r="A61">
        <v>59</v>
      </c>
      <c r="B61" t="s">
        <v>157</v>
      </c>
      <c r="C61">
        <v>1</v>
      </c>
      <c r="D61">
        <v>29</v>
      </c>
      <c r="E61">
        <v>5</v>
      </c>
      <c r="F61">
        <v>1</v>
      </c>
      <c r="G61">
        <f t="shared" si="3"/>
        <v>1</v>
      </c>
      <c r="H61" t="str">
        <f t="shared" si="2"/>
        <v>⇧</v>
      </c>
    </row>
    <row r="62" spans="1:8" x14ac:dyDescent="0.8">
      <c r="A62">
        <v>60</v>
      </c>
      <c r="B62" t="s">
        <v>158</v>
      </c>
      <c r="C62">
        <v>4</v>
      </c>
      <c r="D62">
        <v>30</v>
      </c>
      <c r="E62">
        <v>1</v>
      </c>
      <c r="F62">
        <v>1</v>
      </c>
      <c r="G62">
        <f t="shared" si="3"/>
        <v>1</v>
      </c>
      <c r="H62">
        <f t="shared" si="2"/>
        <v>1</v>
      </c>
    </row>
    <row r="63" spans="1:8" x14ac:dyDescent="0.8">
      <c r="A63">
        <v>61</v>
      </c>
      <c r="B63" t="s">
        <v>159</v>
      </c>
      <c r="C63">
        <v>1</v>
      </c>
      <c r="D63">
        <v>30</v>
      </c>
      <c r="E63">
        <v>5</v>
      </c>
      <c r="F63">
        <v>1</v>
      </c>
      <c r="G63">
        <f t="shared" si="3"/>
        <v>1</v>
      </c>
      <c r="H63" t="str">
        <f t="shared" si="2"/>
        <v>⇧</v>
      </c>
    </row>
    <row r="64" spans="1:8" x14ac:dyDescent="0.8">
      <c r="A64">
        <v>62</v>
      </c>
      <c r="B64" t="s">
        <v>160</v>
      </c>
      <c r="C64">
        <v>3</v>
      </c>
      <c r="F64">
        <v>1</v>
      </c>
      <c r="G64">
        <f t="shared" si="3"/>
        <v>1</v>
      </c>
      <c r="H64">
        <f t="shared" si="2"/>
        <v>1</v>
      </c>
    </row>
    <row r="65" spans="1:8" x14ac:dyDescent="0.8">
      <c r="A65">
        <v>63</v>
      </c>
      <c r="B65" t="s">
        <v>101</v>
      </c>
      <c r="C65">
        <v>7</v>
      </c>
      <c r="F65">
        <v>2</v>
      </c>
      <c r="G65">
        <f t="shared" si="3"/>
        <v>2</v>
      </c>
      <c r="H65">
        <f t="shared" si="2"/>
        <v>2</v>
      </c>
    </row>
    <row r="66" spans="1:8" x14ac:dyDescent="0.8">
      <c r="A66">
        <v>64</v>
      </c>
      <c r="B66" t="s">
        <v>102</v>
      </c>
      <c r="C66">
        <v>2</v>
      </c>
      <c r="D66">
        <v>32</v>
      </c>
      <c r="E66">
        <v>1</v>
      </c>
      <c r="F66">
        <v>1</v>
      </c>
      <c r="G66">
        <f t="shared" si="3"/>
        <v>1</v>
      </c>
      <c r="H66">
        <f t="shared" si="2"/>
        <v>1</v>
      </c>
    </row>
    <row r="67" spans="1:8" x14ac:dyDescent="0.8">
      <c r="A67">
        <v>65</v>
      </c>
      <c r="B67" t="s">
        <v>103</v>
      </c>
      <c r="C67">
        <v>2</v>
      </c>
      <c r="D67">
        <v>32</v>
      </c>
      <c r="E67">
        <v>3</v>
      </c>
      <c r="F67">
        <v>1</v>
      </c>
      <c r="G67">
        <f t="shared" ref="G67:G98" si="4">_xlfn.CEILING.MATH(C67/$E$1,1)</f>
        <v>1</v>
      </c>
      <c r="H67" t="str">
        <f t="shared" si="2"/>
        <v>⇧</v>
      </c>
    </row>
    <row r="68" spans="1:8" x14ac:dyDescent="0.8">
      <c r="A68">
        <v>66</v>
      </c>
      <c r="B68" t="s">
        <v>104</v>
      </c>
      <c r="C68">
        <v>1</v>
      </c>
      <c r="D68">
        <v>32</v>
      </c>
      <c r="E68">
        <v>5</v>
      </c>
      <c r="F68">
        <v>1</v>
      </c>
      <c r="G68">
        <f t="shared" si="4"/>
        <v>1</v>
      </c>
      <c r="H68" t="str">
        <f t="shared" si="2"/>
        <v>⇧</v>
      </c>
    </row>
    <row r="69" spans="1:8" x14ac:dyDescent="0.8">
      <c r="A69">
        <v>67</v>
      </c>
      <c r="B69" t="s">
        <v>34</v>
      </c>
      <c r="C69">
        <v>3</v>
      </c>
      <c r="F69">
        <v>1</v>
      </c>
      <c r="G69">
        <f t="shared" si="4"/>
        <v>1</v>
      </c>
      <c r="H69">
        <f t="shared" si="2"/>
        <v>1</v>
      </c>
    </row>
    <row r="70" spans="1:8" x14ac:dyDescent="0.8">
      <c r="A70">
        <v>68</v>
      </c>
      <c r="B70" t="s">
        <v>105</v>
      </c>
      <c r="C70">
        <v>5</v>
      </c>
      <c r="D70">
        <v>34</v>
      </c>
      <c r="E70">
        <v>1</v>
      </c>
      <c r="F70">
        <v>1</v>
      </c>
      <c r="G70">
        <f t="shared" si="4"/>
        <v>1</v>
      </c>
      <c r="H70">
        <f t="shared" si="2"/>
        <v>1</v>
      </c>
    </row>
    <row r="71" spans="1:8" x14ac:dyDescent="0.8">
      <c r="A71">
        <v>69</v>
      </c>
      <c r="B71" t="s">
        <v>106</v>
      </c>
      <c r="C71">
        <v>1</v>
      </c>
      <c r="D71">
        <v>34</v>
      </c>
      <c r="E71">
        <v>6</v>
      </c>
      <c r="F71">
        <v>1</v>
      </c>
      <c r="G71">
        <f t="shared" si="4"/>
        <v>1</v>
      </c>
      <c r="H71" t="str">
        <f t="shared" si="2"/>
        <v>⇧</v>
      </c>
    </row>
    <row r="72" spans="1:8" x14ac:dyDescent="0.8">
      <c r="A72">
        <v>70</v>
      </c>
      <c r="B72" t="s">
        <v>107</v>
      </c>
      <c r="C72">
        <v>4</v>
      </c>
      <c r="F72">
        <v>1</v>
      </c>
      <c r="G72">
        <f t="shared" si="4"/>
        <v>1</v>
      </c>
      <c r="H72">
        <f t="shared" ref="H72:H124" si="5">IF(D72="",F72,IF(D72=D71,"⇧",F72))</f>
        <v>1</v>
      </c>
    </row>
    <row r="73" spans="1:8" x14ac:dyDescent="0.8">
      <c r="A73">
        <v>71</v>
      </c>
      <c r="B73" t="s">
        <v>108</v>
      </c>
      <c r="C73">
        <v>3</v>
      </c>
      <c r="D73">
        <v>36</v>
      </c>
      <c r="E73">
        <v>1</v>
      </c>
      <c r="F73">
        <v>1</v>
      </c>
      <c r="G73">
        <f t="shared" si="4"/>
        <v>1</v>
      </c>
      <c r="H73">
        <f t="shared" si="5"/>
        <v>1</v>
      </c>
    </row>
    <row r="74" spans="1:8" x14ac:dyDescent="0.8">
      <c r="A74">
        <v>72</v>
      </c>
      <c r="B74" t="s">
        <v>39</v>
      </c>
      <c r="C74">
        <v>1</v>
      </c>
      <c r="D74">
        <v>36</v>
      </c>
      <c r="E74">
        <v>4</v>
      </c>
      <c r="F74">
        <v>1</v>
      </c>
      <c r="G74">
        <f t="shared" si="4"/>
        <v>1</v>
      </c>
      <c r="H74" t="str">
        <f t="shared" si="5"/>
        <v>⇧</v>
      </c>
    </row>
    <row r="75" spans="1:8" x14ac:dyDescent="0.8">
      <c r="A75">
        <v>73</v>
      </c>
      <c r="B75" t="s">
        <v>40</v>
      </c>
      <c r="C75">
        <v>2</v>
      </c>
      <c r="D75">
        <v>36</v>
      </c>
      <c r="E75">
        <v>5</v>
      </c>
      <c r="F75">
        <v>1</v>
      </c>
      <c r="G75">
        <f t="shared" si="4"/>
        <v>1</v>
      </c>
      <c r="H75" t="str">
        <f t="shared" si="5"/>
        <v>⇧</v>
      </c>
    </row>
    <row r="76" spans="1:8" x14ac:dyDescent="0.8">
      <c r="A76">
        <v>74</v>
      </c>
      <c r="B76" t="s">
        <v>35</v>
      </c>
      <c r="C76">
        <v>2</v>
      </c>
      <c r="F76">
        <v>1</v>
      </c>
      <c r="G76">
        <f t="shared" si="4"/>
        <v>1</v>
      </c>
      <c r="H76">
        <f t="shared" si="5"/>
        <v>1</v>
      </c>
    </row>
    <row r="77" spans="1:8" x14ac:dyDescent="0.8">
      <c r="A77">
        <v>75</v>
      </c>
      <c r="B77" t="s">
        <v>109</v>
      </c>
      <c r="C77">
        <v>4</v>
      </c>
      <c r="D77">
        <v>38</v>
      </c>
      <c r="E77">
        <v>1</v>
      </c>
      <c r="F77">
        <v>1</v>
      </c>
      <c r="G77">
        <f t="shared" si="4"/>
        <v>1</v>
      </c>
      <c r="H77">
        <f t="shared" si="5"/>
        <v>1</v>
      </c>
    </row>
    <row r="78" spans="1:8" x14ac:dyDescent="0.8">
      <c r="A78">
        <v>76</v>
      </c>
      <c r="B78" t="s">
        <v>110</v>
      </c>
      <c r="C78">
        <v>2</v>
      </c>
      <c r="D78">
        <v>38</v>
      </c>
      <c r="E78">
        <v>5</v>
      </c>
      <c r="F78">
        <v>1</v>
      </c>
      <c r="G78">
        <f t="shared" si="4"/>
        <v>1</v>
      </c>
      <c r="H78" t="str">
        <f t="shared" si="5"/>
        <v>⇧</v>
      </c>
    </row>
    <row r="79" spans="1:8" x14ac:dyDescent="0.8">
      <c r="A79">
        <v>77</v>
      </c>
      <c r="B79" t="s">
        <v>111</v>
      </c>
      <c r="C79">
        <v>2</v>
      </c>
      <c r="D79">
        <v>39</v>
      </c>
      <c r="E79">
        <v>2</v>
      </c>
      <c r="F79">
        <v>1</v>
      </c>
      <c r="G79">
        <f t="shared" si="4"/>
        <v>1</v>
      </c>
      <c r="H79">
        <f t="shared" si="5"/>
        <v>1</v>
      </c>
    </row>
    <row r="80" spans="1:8" x14ac:dyDescent="0.8">
      <c r="A80">
        <v>78</v>
      </c>
      <c r="B80" t="s">
        <v>112</v>
      </c>
      <c r="C80">
        <v>1</v>
      </c>
      <c r="D80">
        <v>39</v>
      </c>
      <c r="E80">
        <v>5</v>
      </c>
      <c r="F80">
        <v>1</v>
      </c>
      <c r="G80">
        <f t="shared" si="4"/>
        <v>1</v>
      </c>
      <c r="H80" t="str">
        <f t="shared" si="5"/>
        <v>⇧</v>
      </c>
    </row>
    <row r="81" spans="1:8" x14ac:dyDescent="0.8">
      <c r="A81">
        <v>79</v>
      </c>
      <c r="B81" t="s">
        <v>113</v>
      </c>
      <c r="C81">
        <v>3</v>
      </c>
      <c r="D81">
        <v>40</v>
      </c>
      <c r="E81">
        <v>1</v>
      </c>
      <c r="F81">
        <v>1</v>
      </c>
      <c r="G81">
        <f t="shared" si="4"/>
        <v>1</v>
      </c>
      <c r="H81">
        <f t="shared" si="5"/>
        <v>1</v>
      </c>
    </row>
    <row r="82" spans="1:8" x14ac:dyDescent="0.8">
      <c r="A82">
        <v>80</v>
      </c>
      <c r="B82" t="s">
        <v>114</v>
      </c>
      <c r="C82">
        <v>3</v>
      </c>
      <c r="D82">
        <v>40</v>
      </c>
      <c r="E82">
        <v>4</v>
      </c>
      <c r="F82">
        <v>1</v>
      </c>
      <c r="G82">
        <f t="shared" si="4"/>
        <v>1</v>
      </c>
      <c r="H82" t="str">
        <f t="shared" si="5"/>
        <v>⇧</v>
      </c>
    </row>
    <row r="83" spans="1:8" x14ac:dyDescent="0.8">
      <c r="A83">
        <v>81</v>
      </c>
      <c r="B83" t="s">
        <v>115</v>
      </c>
      <c r="C83">
        <v>1</v>
      </c>
      <c r="D83">
        <v>41</v>
      </c>
      <c r="E83">
        <v>2</v>
      </c>
      <c r="F83">
        <v>1</v>
      </c>
      <c r="G83">
        <f t="shared" si="4"/>
        <v>1</v>
      </c>
      <c r="H83">
        <f t="shared" si="5"/>
        <v>1</v>
      </c>
    </row>
    <row r="84" spans="1:8" x14ac:dyDescent="0.8">
      <c r="A84">
        <v>82</v>
      </c>
      <c r="B84" t="s">
        <v>116</v>
      </c>
      <c r="C84">
        <v>1</v>
      </c>
      <c r="D84">
        <v>41</v>
      </c>
      <c r="E84">
        <v>4</v>
      </c>
      <c r="F84">
        <v>1</v>
      </c>
      <c r="G84">
        <f t="shared" si="4"/>
        <v>1</v>
      </c>
      <c r="H84" t="str">
        <f t="shared" si="5"/>
        <v>⇧</v>
      </c>
    </row>
    <row r="85" spans="1:8" x14ac:dyDescent="0.8">
      <c r="A85">
        <v>83</v>
      </c>
      <c r="B85" t="s">
        <v>117</v>
      </c>
      <c r="C85">
        <v>2</v>
      </c>
      <c r="D85">
        <v>42</v>
      </c>
      <c r="E85">
        <v>1</v>
      </c>
      <c r="F85">
        <v>1</v>
      </c>
      <c r="G85">
        <f t="shared" si="4"/>
        <v>1</v>
      </c>
      <c r="H85">
        <f t="shared" si="5"/>
        <v>1</v>
      </c>
    </row>
    <row r="86" spans="1:8" x14ac:dyDescent="0.8">
      <c r="A86">
        <v>84</v>
      </c>
      <c r="B86" t="s">
        <v>118</v>
      </c>
      <c r="C86">
        <v>2</v>
      </c>
      <c r="D86">
        <v>42</v>
      </c>
      <c r="E86">
        <v>3</v>
      </c>
      <c r="F86">
        <v>1</v>
      </c>
      <c r="G86">
        <f t="shared" si="4"/>
        <v>1</v>
      </c>
      <c r="H86" t="str">
        <f t="shared" si="5"/>
        <v>⇧</v>
      </c>
    </row>
    <row r="87" spans="1:8" x14ac:dyDescent="0.8">
      <c r="A87">
        <v>85</v>
      </c>
      <c r="B87" t="s">
        <v>119</v>
      </c>
      <c r="C87">
        <v>1</v>
      </c>
      <c r="D87">
        <v>42</v>
      </c>
      <c r="E87">
        <v>4</v>
      </c>
      <c r="F87">
        <v>1</v>
      </c>
      <c r="G87">
        <f t="shared" si="4"/>
        <v>1</v>
      </c>
      <c r="H87" t="str">
        <f t="shared" si="5"/>
        <v>⇧</v>
      </c>
    </row>
    <row r="88" spans="1:8" x14ac:dyDescent="0.8">
      <c r="A88">
        <v>86</v>
      </c>
      <c r="B88" t="s">
        <v>31</v>
      </c>
      <c r="C88">
        <v>1</v>
      </c>
      <c r="D88">
        <v>42</v>
      </c>
      <c r="E88">
        <v>6</v>
      </c>
      <c r="F88">
        <v>1</v>
      </c>
      <c r="G88">
        <f t="shared" si="4"/>
        <v>1</v>
      </c>
      <c r="H88" t="str">
        <f t="shared" si="5"/>
        <v>⇧</v>
      </c>
    </row>
    <row r="89" spans="1:8" x14ac:dyDescent="0.8">
      <c r="A89">
        <v>87</v>
      </c>
      <c r="B89" t="s">
        <v>120</v>
      </c>
      <c r="C89">
        <v>6</v>
      </c>
      <c r="F89">
        <v>1</v>
      </c>
      <c r="G89">
        <f t="shared" si="4"/>
        <v>1</v>
      </c>
      <c r="H89">
        <f t="shared" si="5"/>
        <v>1</v>
      </c>
    </row>
    <row r="90" spans="1:8" x14ac:dyDescent="0.8">
      <c r="A90">
        <v>88</v>
      </c>
      <c r="B90" t="s">
        <v>121</v>
      </c>
      <c r="C90">
        <v>4</v>
      </c>
      <c r="D90">
        <v>43</v>
      </c>
      <c r="E90">
        <v>1</v>
      </c>
      <c r="F90">
        <v>1</v>
      </c>
      <c r="G90">
        <f t="shared" si="4"/>
        <v>1</v>
      </c>
      <c r="H90">
        <f t="shared" si="5"/>
        <v>1</v>
      </c>
    </row>
    <row r="91" spans="1:8" x14ac:dyDescent="0.8">
      <c r="A91">
        <v>89</v>
      </c>
      <c r="B91" t="s">
        <v>122</v>
      </c>
      <c r="C91">
        <v>1</v>
      </c>
      <c r="D91">
        <v>43</v>
      </c>
      <c r="E91">
        <v>5</v>
      </c>
      <c r="F91">
        <v>1</v>
      </c>
      <c r="G91">
        <f t="shared" si="4"/>
        <v>1</v>
      </c>
      <c r="H91" t="str">
        <f t="shared" si="5"/>
        <v>⇧</v>
      </c>
    </row>
    <row r="92" spans="1:8" x14ac:dyDescent="0.8">
      <c r="A92">
        <v>90</v>
      </c>
      <c r="B92" t="s">
        <v>123</v>
      </c>
      <c r="C92">
        <v>1</v>
      </c>
      <c r="D92">
        <v>43</v>
      </c>
      <c r="E92">
        <v>6</v>
      </c>
      <c r="F92">
        <v>1</v>
      </c>
      <c r="G92">
        <f t="shared" si="4"/>
        <v>1</v>
      </c>
      <c r="H92" t="str">
        <f t="shared" si="5"/>
        <v>⇧</v>
      </c>
    </row>
    <row r="93" spans="1:8" x14ac:dyDescent="0.8">
      <c r="A93">
        <v>91</v>
      </c>
      <c r="B93" t="s">
        <v>32</v>
      </c>
      <c r="C93">
        <v>2</v>
      </c>
      <c r="D93">
        <v>44</v>
      </c>
      <c r="E93">
        <v>1</v>
      </c>
      <c r="F93">
        <v>1</v>
      </c>
      <c r="G93">
        <f t="shared" si="4"/>
        <v>1</v>
      </c>
      <c r="H93">
        <f t="shared" si="5"/>
        <v>1</v>
      </c>
    </row>
    <row r="94" spans="1:8" x14ac:dyDescent="0.8">
      <c r="A94">
        <v>92</v>
      </c>
      <c r="B94" t="s">
        <v>33</v>
      </c>
      <c r="C94">
        <v>1</v>
      </c>
      <c r="D94">
        <v>44</v>
      </c>
      <c r="E94">
        <v>3</v>
      </c>
      <c r="F94">
        <v>1</v>
      </c>
      <c r="G94">
        <f t="shared" si="4"/>
        <v>1</v>
      </c>
      <c r="H94" t="str">
        <f t="shared" si="5"/>
        <v>⇧</v>
      </c>
    </row>
    <row r="95" spans="1:8" x14ac:dyDescent="0.8">
      <c r="A95">
        <v>93</v>
      </c>
      <c r="B95" t="s">
        <v>124</v>
      </c>
      <c r="C95">
        <v>1</v>
      </c>
      <c r="D95">
        <v>44</v>
      </c>
      <c r="E95">
        <v>5</v>
      </c>
      <c r="F95">
        <v>1</v>
      </c>
      <c r="G95">
        <f t="shared" si="4"/>
        <v>1</v>
      </c>
      <c r="H95" t="str">
        <f t="shared" si="5"/>
        <v>⇧</v>
      </c>
    </row>
    <row r="96" spans="1:8" x14ac:dyDescent="0.8">
      <c r="A96">
        <v>94</v>
      </c>
      <c r="B96" t="s">
        <v>125</v>
      </c>
      <c r="C96">
        <v>1</v>
      </c>
      <c r="F96">
        <v>1</v>
      </c>
      <c r="G96">
        <f t="shared" si="4"/>
        <v>1</v>
      </c>
      <c r="H96">
        <f t="shared" si="5"/>
        <v>1</v>
      </c>
    </row>
    <row r="97" spans="1:8" x14ac:dyDescent="0.8">
      <c r="A97">
        <v>95</v>
      </c>
      <c r="B97" t="s">
        <v>126</v>
      </c>
      <c r="C97">
        <v>5</v>
      </c>
      <c r="D97">
        <v>46</v>
      </c>
      <c r="E97">
        <v>1</v>
      </c>
      <c r="F97">
        <v>1</v>
      </c>
      <c r="G97">
        <f t="shared" si="4"/>
        <v>1</v>
      </c>
      <c r="H97">
        <f t="shared" si="5"/>
        <v>1</v>
      </c>
    </row>
    <row r="98" spans="1:8" x14ac:dyDescent="0.8">
      <c r="A98">
        <v>96</v>
      </c>
      <c r="B98" t="s">
        <v>127</v>
      </c>
      <c r="C98">
        <v>1</v>
      </c>
      <c r="D98">
        <v>46</v>
      </c>
      <c r="E98">
        <v>6</v>
      </c>
      <c r="F98">
        <v>1</v>
      </c>
      <c r="G98">
        <f t="shared" si="4"/>
        <v>1</v>
      </c>
      <c r="H98" t="str">
        <f t="shared" si="5"/>
        <v>⇧</v>
      </c>
    </row>
    <row r="99" spans="1:8" x14ac:dyDescent="0.8">
      <c r="A99">
        <v>97</v>
      </c>
      <c r="B99" t="s">
        <v>128</v>
      </c>
      <c r="C99">
        <v>1</v>
      </c>
      <c r="D99">
        <v>47</v>
      </c>
      <c r="E99">
        <v>1</v>
      </c>
      <c r="F99">
        <v>1</v>
      </c>
      <c r="G99">
        <f t="shared" ref="G99:G124" si="6">_xlfn.CEILING.MATH(C99/$E$1,1)</f>
        <v>1</v>
      </c>
      <c r="H99">
        <f t="shared" si="5"/>
        <v>1</v>
      </c>
    </row>
    <row r="100" spans="1:8" x14ac:dyDescent="0.8">
      <c r="A100">
        <v>98</v>
      </c>
      <c r="B100" t="s">
        <v>129</v>
      </c>
      <c r="C100">
        <v>2</v>
      </c>
      <c r="D100">
        <v>47</v>
      </c>
      <c r="E100">
        <v>3</v>
      </c>
      <c r="F100">
        <v>1</v>
      </c>
      <c r="G100">
        <f t="shared" si="6"/>
        <v>1</v>
      </c>
      <c r="H100" t="str">
        <f t="shared" si="5"/>
        <v>⇧</v>
      </c>
    </row>
    <row r="101" spans="1:8" x14ac:dyDescent="0.8">
      <c r="A101">
        <v>99</v>
      </c>
      <c r="B101" t="s">
        <v>130</v>
      </c>
      <c r="C101">
        <v>1</v>
      </c>
      <c r="D101">
        <v>47</v>
      </c>
      <c r="E101">
        <v>6</v>
      </c>
      <c r="F101">
        <v>1</v>
      </c>
      <c r="G101">
        <f t="shared" si="6"/>
        <v>1</v>
      </c>
      <c r="H101" t="str">
        <f t="shared" si="5"/>
        <v>⇧</v>
      </c>
    </row>
    <row r="102" spans="1:8" x14ac:dyDescent="0.8">
      <c r="A102">
        <v>100</v>
      </c>
      <c r="B102" t="s">
        <v>131</v>
      </c>
      <c r="C102">
        <v>9</v>
      </c>
      <c r="F102">
        <v>2</v>
      </c>
      <c r="G102">
        <f t="shared" si="6"/>
        <v>2</v>
      </c>
      <c r="H102">
        <f t="shared" si="5"/>
        <v>2</v>
      </c>
    </row>
    <row r="103" spans="1:8" x14ac:dyDescent="0.8">
      <c r="A103">
        <v>101</v>
      </c>
      <c r="B103" t="s">
        <v>132</v>
      </c>
      <c r="C103">
        <v>12</v>
      </c>
      <c r="F103">
        <v>2</v>
      </c>
      <c r="G103">
        <f t="shared" si="6"/>
        <v>2</v>
      </c>
      <c r="H103">
        <f t="shared" si="5"/>
        <v>2</v>
      </c>
    </row>
    <row r="104" spans="1:8" x14ac:dyDescent="0.8">
      <c r="A104">
        <v>102</v>
      </c>
      <c r="B104" t="s">
        <v>133</v>
      </c>
      <c r="C104">
        <v>5</v>
      </c>
      <c r="F104">
        <v>1</v>
      </c>
      <c r="G104">
        <f t="shared" si="6"/>
        <v>1</v>
      </c>
      <c r="H104">
        <f t="shared" si="5"/>
        <v>1</v>
      </c>
    </row>
    <row r="105" spans="1:8" x14ac:dyDescent="0.8">
      <c r="A105">
        <v>103</v>
      </c>
      <c r="B105" t="s">
        <v>134</v>
      </c>
      <c r="C105">
        <v>3</v>
      </c>
      <c r="F105">
        <v>1</v>
      </c>
      <c r="G105">
        <f t="shared" si="6"/>
        <v>1</v>
      </c>
      <c r="H105">
        <f t="shared" si="5"/>
        <v>1</v>
      </c>
    </row>
    <row r="106" spans="1:8" x14ac:dyDescent="0.8">
      <c r="A106">
        <v>104</v>
      </c>
      <c r="B106" t="s">
        <v>135</v>
      </c>
      <c r="C106">
        <v>11</v>
      </c>
      <c r="F106">
        <v>2</v>
      </c>
      <c r="G106">
        <f t="shared" si="6"/>
        <v>2</v>
      </c>
      <c r="H106">
        <f t="shared" si="5"/>
        <v>2</v>
      </c>
    </row>
    <row r="107" spans="1:8" x14ac:dyDescent="0.8">
      <c r="A107">
        <v>105</v>
      </c>
      <c r="B107" t="s">
        <v>136</v>
      </c>
      <c r="C107">
        <v>6</v>
      </c>
      <c r="F107">
        <v>1</v>
      </c>
      <c r="G107">
        <f t="shared" si="6"/>
        <v>1</v>
      </c>
      <c r="H107">
        <f t="shared" si="5"/>
        <v>1</v>
      </c>
    </row>
    <row r="108" spans="1:8" x14ac:dyDescent="0.8">
      <c r="A108">
        <v>106</v>
      </c>
      <c r="B108" t="s">
        <v>36</v>
      </c>
      <c r="C108">
        <v>2</v>
      </c>
      <c r="F108">
        <v>1</v>
      </c>
      <c r="G108">
        <f t="shared" si="6"/>
        <v>1</v>
      </c>
      <c r="H108">
        <f t="shared" si="5"/>
        <v>1</v>
      </c>
    </row>
    <row r="109" spans="1:8" x14ac:dyDescent="0.8">
      <c r="A109">
        <v>107</v>
      </c>
      <c r="B109" t="s">
        <v>137</v>
      </c>
      <c r="C109">
        <v>2</v>
      </c>
      <c r="D109">
        <v>51</v>
      </c>
      <c r="E109">
        <v>1</v>
      </c>
      <c r="F109">
        <v>1</v>
      </c>
      <c r="G109">
        <f t="shared" si="6"/>
        <v>1</v>
      </c>
      <c r="H109">
        <f t="shared" si="5"/>
        <v>1</v>
      </c>
    </row>
    <row r="110" spans="1:8" x14ac:dyDescent="0.8">
      <c r="A110">
        <v>108</v>
      </c>
      <c r="B110" t="s">
        <v>138</v>
      </c>
      <c r="C110">
        <v>3</v>
      </c>
      <c r="D110">
        <v>51</v>
      </c>
      <c r="E110">
        <v>3</v>
      </c>
      <c r="F110">
        <v>1</v>
      </c>
      <c r="G110">
        <f t="shared" si="6"/>
        <v>1</v>
      </c>
      <c r="H110" t="str">
        <f t="shared" si="5"/>
        <v>⇧</v>
      </c>
    </row>
    <row r="111" spans="1:8" x14ac:dyDescent="0.8">
      <c r="A111">
        <v>109</v>
      </c>
      <c r="B111" t="s">
        <v>139</v>
      </c>
      <c r="C111">
        <v>2</v>
      </c>
      <c r="F111">
        <v>1</v>
      </c>
      <c r="G111">
        <f t="shared" si="6"/>
        <v>1</v>
      </c>
      <c r="H111">
        <f t="shared" si="5"/>
        <v>1</v>
      </c>
    </row>
    <row r="112" spans="1:8" x14ac:dyDescent="0.8">
      <c r="A112">
        <v>110</v>
      </c>
      <c r="B112" t="s">
        <v>140</v>
      </c>
      <c r="C112">
        <v>2</v>
      </c>
      <c r="F112">
        <v>1</v>
      </c>
      <c r="G112">
        <f t="shared" si="6"/>
        <v>1</v>
      </c>
      <c r="H112">
        <f t="shared" si="5"/>
        <v>1</v>
      </c>
    </row>
    <row r="113" spans="1:8" x14ac:dyDescent="0.8">
      <c r="A113">
        <v>111</v>
      </c>
      <c r="B113" t="s">
        <v>141</v>
      </c>
      <c r="C113">
        <v>6</v>
      </c>
      <c r="F113">
        <v>1</v>
      </c>
      <c r="G113">
        <f t="shared" si="6"/>
        <v>1</v>
      </c>
      <c r="H113">
        <f t="shared" si="5"/>
        <v>1</v>
      </c>
    </row>
    <row r="114" spans="1:8" x14ac:dyDescent="0.8">
      <c r="A114">
        <v>112</v>
      </c>
      <c r="B114" t="s">
        <v>142</v>
      </c>
      <c r="C114">
        <v>1</v>
      </c>
      <c r="D114">
        <v>54</v>
      </c>
      <c r="E114">
        <v>1</v>
      </c>
      <c r="F114">
        <v>1</v>
      </c>
      <c r="G114">
        <f t="shared" si="6"/>
        <v>1</v>
      </c>
      <c r="H114">
        <f t="shared" si="5"/>
        <v>1</v>
      </c>
    </row>
    <row r="115" spans="1:8" x14ac:dyDescent="0.8">
      <c r="A115">
        <v>113</v>
      </c>
      <c r="B115" t="s">
        <v>143</v>
      </c>
      <c r="C115">
        <v>3</v>
      </c>
      <c r="D115">
        <v>54</v>
      </c>
      <c r="E115">
        <v>2</v>
      </c>
      <c r="F115">
        <v>1</v>
      </c>
      <c r="G115">
        <f t="shared" si="6"/>
        <v>1</v>
      </c>
      <c r="H115" t="str">
        <f t="shared" si="5"/>
        <v>⇧</v>
      </c>
    </row>
    <row r="116" spans="1:8" x14ac:dyDescent="0.8">
      <c r="A116">
        <v>114</v>
      </c>
      <c r="B116" t="s">
        <v>144</v>
      </c>
      <c r="C116">
        <v>1</v>
      </c>
      <c r="D116">
        <v>54</v>
      </c>
      <c r="E116">
        <v>5</v>
      </c>
      <c r="F116">
        <v>1</v>
      </c>
      <c r="G116">
        <f t="shared" si="6"/>
        <v>1</v>
      </c>
      <c r="H116" t="str">
        <f t="shared" si="5"/>
        <v>⇧</v>
      </c>
    </row>
    <row r="117" spans="1:8" x14ac:dyDescent="0.8">
      <c r="A117">
        <v>115</v>
      </c>
      <c r="B117" t="s">
        <v>145</v>
      </c>
      <c r="C117">
        <v>3</v>
      </c>
      <c r="D117">
        <v>55</v>
      </c>
      <c r="E117">
        <v>1</v>
      </c>
      <c r="F117">
        <v>1</v>
      </c>
      <c r="G117">
        <f t="shared" si="6"/>
        <v>1</v>
      </c>
      <c r="H117">
        <f t="shared" si="5"/>
        <v>1</v>
      </c>
    </row>
    <row r="118" spans="1:8" x14ac:dyDescent="0.8">
      <c r="A118">
        <v>116</v>
      </c>
      <c r="B118" t="s">
        <v>146</v>
      </c>
      <c r="C118">
        <v>1</v>
      </c>
      <c r="D118">
        <v>55</v>
      </c>
      <c r="E118">
        <v>4</v>
      </c>
      <c r="F118">
        <v>1</v>
      </c>
      <c r="G118">
        <f t="shared" si="6"/>
        <v>1</v>
      </c>
      <c r="H118" t="str">
        <f t="shared" si="5"/>
        <v>⇧</v>
      </c>
    </row>
    <row r="119" spans="1:8" x14ac:dyDescent="0.8">
      <c r="A119">
        <v>117</v>
      </c>
      <c r="B119" t="s">
        <v>147</v>
      </c>
      <c r="C119">
        <v>2</v>
      </c>
      <c r="D119">
        <v>55</v>
      </c>
      <c r="E119">
        <v>5</v>
      </c>
      <c r="F119">
        <v>1</v>
      </c>
      <c r="G119">
        <f t="shared" si="6"/>
        <v>1</v>
      </c>
      <c r="H119" t="str">
        <f t="shared" si="5"/>
        <v>⇧</v>
      </c>
    </row>
    <row r="120" spans="1:8" x14ac:dyDescent="0.8">
      <c r="A120">
        <v>118</v>
      </c>
      <c r="B120" t="s">
        <v>148</v>
      </c>
      <c r="C120">
        <v>1</v>
      </c>
      <c r="F120">
        <v>1</v>
      </c>
      <c r="G120">
        <f t="shared" si="6"/>
        <v>1</v>
      </c>
      <c r="H120">
        <f t="shared" si="5"/>
        <v>1</v>
      </c>
    </row>
    <row r="121" spans="1:8" x14ac:dyDescent="0.8">
      <c r="A121">
        <v>119</v>
      </c>
      <c r="B121" t="s">
        <v>149</v>
      </c>
      <c r="C121">
        <v>2</v>
      </c>
      <c r="F121">
        <v>1</v>
      </c>
      <c r="G121">
        <f t="shared" si="6"/>
        <v>1</v>
      </c>
      <c r="H121">
        <f t="shared" si="5"/>
        <v>1</v>
      </c>
    </row>
    <row r="122" spans="1:8" x14ac:dyDescent="0.8">
      <c r="A122">
        <v>120</v>
      </c>
      <c r="B122" t="s">
        <v>150</v>
      </c>
      <c r="C122">
        <v>6</v>
      </c>
      <c r="F122">
        <v>1</v>
      </c>
      <c r="G122">
        <f t="shared" si="6"/>
        <v>1</v>
      </c>
      <c r="H122">
        <f t="shared" si="5"/>
        <v>1</v>
      </c>
    </row>
    <row r="123" spans="1:8" x14ac:dyDescent="0.8">
      <c r="A123">
        <v>121</v>
      </c>
      <c r="B123" t="s">
        <v>151</v>
      </c>
      <c r="C123">
        <v>1</v>
      </c>
      <c r="F123">
        <v>1</v>
      </c>
      <c r="G123">
        <f t="shared" si="6"/>
        <v>1</v>
      </c>
      <c r="H123">
        <f t="shared" si="5"/>
        <v>1</v>
      </c>
    </row>
    <row r="124" spans="1:8" x14ac:dyDescent="0.8">
      <c r="A124">
        <v>122</v>
      </c>
      <c r="B124" t="s">
        <v>152</v>
      </c>
      <c r="C124">
        <v>2</v>
      </c>
      <c r="D124">
        <v>59</v>
      </c>
      <c r="E124">
        <v>1</v>
      </c>
      <c r="F124">
        <v>1</v>
      </c>
      <c r="G124">
        <f t="shared" si="6"/>
        <v>1</v>
      </c>
      <c r="H124">
        <f t="shared" si="5"/>
        <v>1</v>
      </c>
    </row>
    <row r="125" spans="1:8" x14ac:dyDescent="0.8">
      <c r="A125">
        <v>123</v>
      </c>
      <c r="B125" t="s">
        <v>153</v>
      </c>
      <c r="C125">
        <v>4</v>
      </c>
      <c r="D125">
        <v>59</v>
      </c>
      <c r="E125">
        <v>3</v>
      </c>
      <c r="F125">
        <v>1</v>
      </c>
    </row>
    <row r="126" spans="1:8" x14ac:dyDescent="0.8">
      <c r="A126">
        <v>124</v>
      </c>
      <c r="B126" t="s">
        <v>154</v>
      </c>
      <c r="C126">
        <v>4</v>
      </c>
      <c r="F126">
        <v>1</v>
      </c>
    </row>
    <row r="127" spans="1:8" x14ac:dyDescent="0.8">
      <c r="A127">
        <v>125</v>
      </c>
      <c r="B127" t="s">
        <v>161</v>
      </c>
      <c r="C127">
        <v>3</v>
      </c>
      <c r="F127">
        <v>1</v>
      </c>
    </row>
    <row r="128" spans="1:8" x14ac:dyDescent="0.8">
      <c r="A128">
        <v>126</v>
      </c>
      <c r="B128" t="s">
        <v>162</v>
      </c>
      <c r="C128">
        <v>4</v>
      </c>
      <c r="D128">
        <v>62</v>
      </c>
      <c r="E128">
        <v>1</v>
      </c>
      <c r="F128">
        <v>1</v>
      </c>
    </row>
    <row r="129" spans="1:6" x14ac:dyDescent="0.8">
      <c r="A129">
        <v>127</v>
      </c>
      <c r="B129" t="s">
        <v>163</v>
      </c>
      <c r="C129">
        <v>1</v>
      </c>
      <c r="D129">
        <v>62</v>
      </c>
      <c r="E129">
        <v>5</v>
      </c>
      <c r="F129">
        <v>1</v>
      </c>
    </row>
    <row r="130" spans="1:6" x14ac:dyDescent="0.8">
      <c r="A130">
        <v>128</v>
      </c>
      <c r="B130" t="s">
        <v>164</v>
      </c>
      <c r="C130">
        <v>4</v>
      </c>
      <c r="D130">
        <v>63</v>
      </c>
      <c r="E130">
        <v>1</v>
      </c>
      <c r="F130">
        <v>1</v>
      </c>
    </row>
    <row r="131" spans="1:6" x14ac:dyDescent="0.8">
      <c r="A131">
        <v>129</v>
      </c>
      <c r="B131" t="s">
        <v>165</v>
      </c>
      <c r="C131">
        <v>1</v>
      </c>
      <c r="D131">
        <v>63</v>
      </c>
      <c r="E131">
        <v>5</v>
      </c>
      <c r="F131">
        <v>1</v>
      </c>
    </row>
    <row r="132" spans="1:6" x14ac:dyDescent="0.8">
      <c r="A132">
        <v>130</v>
      </c>
      <c r="B132" t="s">
        <v>166</v>
      </c>
      <c r="C132">
        <v>3</v>
      </c>
      <c r="F132">
        <v>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大会選択</vt:lpstr>
      <vt:lpstr>競技ごとの参加人数</vt:lpstr>
      <vt:lpstr>dataBasePath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加藤美孝</dc:creator>
  <cp:lastModifiedBy>加藤美孝</cp:lastModifiedBy>
  <dcterms:created xsi:type="dcterms:W3CDTF">2021-04-22T08:55:52Z</dcterms:created>
  <dcterms:modified xsi:type="dcterms:W3CDTF">2022-08-15T04:15:42Z</dcterms:modified>
</cp:coreProperties>
</file>